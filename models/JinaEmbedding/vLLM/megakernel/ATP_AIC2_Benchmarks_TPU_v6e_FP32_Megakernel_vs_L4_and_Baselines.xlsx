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Assets" sheetId="1" r:id="rId5"/>
    <sheet state="visible" name="v6e_Megakernel_gid1161755388" sheetId="2" r:id="rId6"/>
    <sheet state="visible" name="Comparison_gid1972899730" sheetId="3" r:id="rId7"/>
    <sheet state="visible" name="v6e_Megakernel_d3439062" sheetId="4" r:id="rId8"/>
    <sheet state="visible" name="Comparison_d3439062" sheetId="5" r:id="rId9"/>
  </sheets>
  <definedNames/>
  <calcPr/>
</workbook>
</file>

<file path=xl/sharedStrings.xml><?xml version="1.0" encoding="utf-8"?>
<sst xmlns="http://schemas.openxmlformats.org/spreadsheetml/2006/main" count="2058" uniqueCount="705">
  <si>
    <t>1. Clickable GitHub Links (pallavim1/tpu-inference &amp; pallavim1/ai-infra-projects)</t>
  </si>
  <si>
    <t>Benchmark Commit (b14044a4):</t>
  </si>
  <si>
    <r>
      <rPr>
        <rFont val="ui-monospace, SFMono-Regular, Menlo, Monaco, Consolas, &quot;Liberation Mono&quot;, &quot;Courier New&quot;, monospace"/>
        <b/>
        <color rgb="FF1155CC"/>
        <u/>
      </rPr>
      <t>pallavim1/tpu-inference@b14044a4</t>
    </r>
  </si>
  <si>
    <r>
      <rPr>
        <rFont val="ui-monospace, SFMono-Regular, Menlo, Monaco, Consolas, &quot;Liberation Mono&quot;, &quot;Courier New&quot;, monospace"/>
        <b/>
        <color rgb="FF1155CC"/>
        <u/>
      </rPr>
      <t>pallavim1/ai-infra-projects@b14044a4</t>
    </r>
  </si>
  <si>
    <t>Markdown Benchmark Report (Tab 1 gid=1161755388 &amp; Tab 2 gid=1972899730 AS-IS):</t>
  </si>
  <si>
    <r>
      <rPr>
        <rFont val="ui-monospace, SFMono-Regular, Menlo, Monaco, Consolas, &quot;Liberation Mono&quot;, &quot;Courier New&quot;, monospace"/>
        <b/>
        <color rgb="FF1155CC"/>
        <u/>
      </rPr>
      <t>Zhemin_RPS_v6e_Opus_Megakernel_FP32_1024tok_2048tok.md</t>
    </r>
    <r>
      <rPr>
        <rFont val="ui-monospace, SFMono-Regular, Menlo, Monaco, Consolas, &quot;Liberation Mono&quot;, &quot;Courier New&quot;, monospace"/>
        <b/>
        <color rgb="FF1155CC"/>
        <u/>
      </rPr>
      <t xml:space="preserve"> (GitHub)</t>
    </r>
  </si>
  <si>
    <r>
      <rPr>
        <rFont val="ui-monospace, SFMono-Regular, Menlo, Monaco, Consolas, &quot;Liberation Mono&quot;, &quot;Courier New&quot;, monospace"/>
        <b/>
        <color rgb="FF1155CC"/>
        <u/>
      </rPr>
      <t>TPU_v6e_FP32_Megakernel_2K_Benchmark_Report.md</t>
    </r>
    <r>
      <rPr>
        <rFont val="ui-monospace, SFMono-Regular, Menlo, Monaco, Consolas, &quot;Liberation Mono&quot;, &quot;Courier New&quot;, monospace"/>
        <b/>
        <color rgb="FF1155CC"/>
        <u/>
      </rPr>
      <t xml:space="preserve"> (GitHub)</t>
    </r>
  </si>
  <si>
    <t>Two-Tab Consolidated Excel Workbook (.xlsx):</t>
  </si>
  <si>
    <r>
      <rPr>
        <rFont val="ui-monospace, SFMono-Regular, Menlo, Monaco, Consolas, &quot;Liberation Mono&quot;, &quot;Courier New&quot;, monospace"/>
        <b/>
        <color rgb="FF1155CC"/>
        <u/>
      </rPr>
      <t>ATP_AIC2_Benchmarks_TPU_v6e_FP32_Megakernel_vs_L4_and_Baselines.xlsx</t>
    </r>
    <r>
      <rPr>
        <rFont val="ui-monospace, SFMono-Regular, Menlo, Monaco, Consolas, &quot;Liberation Mono&quot;, &quot;Courier New&quot;, monospace"/>
        <b/>
        <color rgb="FF1155CC"/>
        <u/>
      </rPr>
      <t xml:space="preserve"> (GitHub)</t>
    </r>
  </si>
  <si>
    <t>CSV Spreadsheet Comparison (.csv):</t>
  </si>
  <si>
    <r>
      <rPr>
        <rFont val="ui-monospace, SFMono-Regular, Menlo, Monaco, Consolas, &quot;Liberation Mono&quot;, &quot;Courier New&quot;, monospace"/>
        <b/>
        <color rgb="FF1155CC"/>
        <u/>
      </rPr>
      <t>TPU_v6e_FP32_Megakernel_Zhemin_Spreadsheet_Comparison.csv</t>
    </r>
    <r>
      <rPr>
        <rFont val="ui-monospace, SFMono-Regular, Menlo, Monaco, Consolas, &quot;Liberation Mono&quot;, &quot;Courier New&quot;, monospace"/>
        <b/>
        <color rgb="FF1155CC"/>
        <u/>
      </rPr>
      <t xml:space="preserve"> (GitHub)</t>
    </r>
  </si>
  <si>
    <t>TPU v6e FP32 Opus Megakernel v2 + Fused Device Pooling (jina-v2-opus-megakernel @ d3439062 | FP32, max_model_len=2048, Exact 1,024 &amp; 2,048 Tokens) — Matching Zhemin gid=1161755388 AS-IS</t>
  </si>
  <si>
    <t>TPU v6e FP32 Opus Megakernel v2 + Device Pooling (jina-v2-opus-megakernel @ cb460828 | Single-Shot E2E Run 2026-09-27T08:52:54Z–09:52:39Z | FP32, max_model_len=2048, Exact 1,024 &amp; 2,048 Tokens) — Matching Zhemin gid=1161755388 AS-IS</t>
  </si>
  <si>
    <t>Raw Empirical JSON Results &amp; Generator Script:</t>
  </si>
  <si>
    <t>Batch Request Testing: A single HTTP request contains multiple prompts (Single HTTP Request with N=1,4,8,16 prompts; Exact 1,024 &amp; 2,048 tokens)</t>
  </si>
  <si>
    <r>
      <rPr>
        <rFont val="ui-monospace, SFMono-Regular, Menlo, Monaco, Consolas, &quot;Liberation Mono&quot;, &quot;Courier New&quot;, monospace"/>
        <b/>
        <color rgb="FF1155CC"/>
        <u/>
      </rPr>
      <t>cb460828_full_e2e_results.json</t>
    </r>
    <r>
      <rPr>
        <rFont val="ui-monospace, SFMono-Regular, Menlo, Monaco, Consolas, &quot;Liberation Mono&quot;, &quot;Courier New&quot;, monospace"/>
        <b/>
        <color rgb="FF1155CC"/>
        <u/>
      </rPr>
      <t xml:space="preserve"> (GitHub)</t>
    </r>
  </si>
  <si>
    <t>TPU v6e Opus Megakernel cb460828 ($2.70/hr) vs TPU v5e ($1.20 / $1.22/hr) &amp; NVIDIA L4 ($0.70/hr) — Matching Zhemin gid=1972899730 AS-IS</t>
  </si>
  <si>
    <t>Concurrent Request Comparison — Single HTTP Request with N Prompts (P50)</t>
  </si>
  <si>
    <r>
      <rPr>
        <rFont val="ui-monospace, SFMono-Regular, Menlo, Monaco, Consolas, &quot;Liberation Mono&quot;, &quot;Courier New&quot;, monospace"/>
        <b/>
        <color rgb="FF1155CC"/>
        <u/>
      </rPr>
      <t>build_megakernel_excel.py</t>
    </r>
    <r>
      <rPr>
        <rFont val="ui-monospace, SFMono-Regular, Menlo, Monaco, Consolas, &quot;Liberation Mono&quot;, &quot;Courier New&quot;, monospace"/>
        <b/>
        <color rgb="FF1155CC"/>
        <u/>
      </rPr>
      <t xml:space="preserve"> (GitHub)</t>
    </r>
  </si>
  <si>
    <t>Payload Size</t>
  </si>
  <si>
    <t>2. Clickable GitHub Links for d3439062 (Fused Device Pooling + L2 Norm + Encoder Fast Path)</t>
  </si>
  <si>
    <t>Source Commit &amp; Benchmark Commit (d3439062 / a715f929):</t>
  </si>
  <si>
    <t>Concurrency</t>
  </si>
  <si>
    <t>TPU v6e cb460828 (ms)</t>
  </si>
  <si>
    <t>TPU v5e (ms)</t>
  </si>
  <si>
    <t>Throughput (TPU v6e cb460828)</t>
  </si>
  <si>
    <t>Throughput (TPU v6e d3439062)</t>
  </si>
  <si>
    <t>L4 GPU (ms)</t>
  </si>
  <si>
    <t>p50 (TPU v6e cb460828)</t>
  </si>
  <si>
    <t>Absolute Delta (v6e vs v5e)</t>
  </si>
  <si>
    <t>p50 (TPU v6e d3439062)</t>
  </si>
  <si>
    <t>% Reduction (v6e vs v5e)</t>
  </si>
  <si>
    <t>p99 (TPU v6e cb460828)</t>
  </si>
  <si>
    <t>p99 (TPU v6e d3439062)</t>
  </si>
  <si>
    <t>Absolute Delta (v6e vs L4)</t>
  </si>
  <si>
    <t>Throughput (TPU v5e Zhemin)</t>
  </si>
  <si>
    <t>% Reduction (v6e vs L4)</t>
  </si>
  <si>
    <t>p50 (TPU v5e Zhemin)</t>
  </si>
  <si>
    <t>Faster Setup</t>
  </si>
  <si>
    <t>p99 (TPU v5e Zhemin)</t>
  </si>
  <si>
    <t>Throughput (L4 GPU Zhemin)</t>
  </si>
  <si>
    <t>1KB (1024 chars)</t>
  </si>
  <si>
    <t>p50 (L4 GPU Zhemin)</t>
  </si>
  <si>
    <t>p99 (L4 GPU Zhemin)</t>
  </si>
  <si>
    <t>130.3/s</t>
  </si>
  <si>
    <t>7.4ms</t>
  </si>
  <si>
    <t>Dedicated d3439062 Markdown Benchmark Reports:</t>
  </si>
  <si>
    <t>11.5ms</t>
  </si>
  <si>
    <t>20.7ms</t>
  </si>
  <si>
    <t>10.4ms</t>
  </si>
  <si>
    <t>139.4/s</t>
  </si>
  <si>
    <t>-4.1ms</t>
  </si>
  <si>
    <t>85.8/s</t>
  </si>
  <si>
    <t>35.7%</t>
  </si>
  <si>
    <t>-13.3ms</t>
  </si>
  <si>
    <t>12.7ms</t>
  </si>
  <si>
    <t>64.3%</t>
  </si>
  <si>
    <t>43.2/s</t>
  </si>
  <si>
    <t>TPU v6e</t>
  </si>
  <si>
    <t>7.1ms</t>
  </si>
  <si>
    <t>8.1ms</t>
  </si>
  <si>
    <t>23.5ms</t>
  </si>
  <si>
    <t>Consolidated Excel Workbook (.xlsx) with d3439062 Tabs:</t>
  </si>
  <si>
    <t>CSV Spreadsheet Comparison (.csv) for d3439062:</t>
  </si>
  <si>
    <t>Raw d3439062 Empirical JSON Results (Live vLLM Serve + Step Microbenchmark):</t>
  </si>
  <si>
    <t>17.4ms</t>
  </si>
  <si>
    <t>227.0/s</t>
  </si>
  <si>
    <t>21.2ms</t>
  </si>
  <si>
    <t>235.1/s</t>
  </si>
  <si>
    <t>38.1ms</t>
  </si>
  <si>
    <t>16.9ms</t>
  </si>
  <si>
    <t>-3.8ms</t>
  </si>
  <si>
    <t>19.4ms</t>
  </si>
  <si>
    <t>18.1ms</t>
  </si>
  <si>
    <t>17.9%</t>
  </si>
  <si>
    <t>187.4/s</t>
  </si>
  <si>
    <t>-20.7ms</t>
  </si>
  <si>
    <t>54.3%</t>
  </si>
  <si>
    <t>22.8ms</t>
  </si>
  <si>
    <t>103.4/s</t>
  </si>
  <si>
    <t>42.9ms</t>
  </si>
  <si>
    <t>31.2ms</t>
  </si>
  <si>
    <t>42.5ms</t>
  </si>
  <si>
    <t>259.5/s</t>
  </si>
  <si>
    <t>254.3/s</t>
  </si>
  <si>
    <t>58.7ms</t>
  </si>
  <si>
    <t>30.6ms</t>
  </si>
  <si>
    <t>-11.3ms</t>
  </si>
  <si>
    <t>26.6%</t>
  </si>
  <si>
    <t>32.3ms</t>
  </si>
  <si>
    <t>32.7ms</t>
  </si>
  <si>
    <t>-27.5ms</t>
  </si>
  <si>
    <t>187.6/s</t>
  </si>
  <si>
    <t>46.8%</t>
  </si>
  <si>
    <t>44.5ms</t>
  </si>
  <si>
    <t>135.1/s</t>
  </si>
  <si>
    <t>66.3ms</t>
  </si>
  <si>
    <t>59.5ms</t>
  </si>
  <si>
    <t>85.4ms</t>
  </si>
  <si>
    <t>96.5ms</t>
  </si>
  <si>
    <t>-25.9ms</t>
  </si>
  <si>
    <t>30.3%</t>
  </si>
  <si>
    <t>-37.0ms</t>
  </si>
  <si>
    <t>38.3%</t>
  </si>
  <si>
    <t>272.9/s</t>
  </si>
  <si>
    <t>267.9/s</t>
  </si>
  <si>
    <t>58.5ms</t>
  </si>
  <si>
    <t>59.6ms</t>
  </si>
  <si>
    <t>60.8ms</t>
  </si>
  <si>
    <t>186.8/s</t>
  </si>
  <si>
    <t>2KB (2048 chars)</t>
  </si>
  <si>
    <t>9.0ms</t>
  </si>
  <si>
    <t>89.9ms</t>
  </si>
  <si>
    <t>16.5ms</t>
  </si>
  <si>
    <t>165.2/s</t>
  </si>
  <si>
    <t>24.3ms</t>
  </si>
  <si>
    <t>-7.5ms</t>
  </si>
  <si>
    <t>45.5%</t>
  </si>
  <si>
    <t>107.6ms</t>
  </si>
  <si>
    <t>-15.3ms</t>
  </si>
  <si>
    <t>63.0%</t>
  </si>
  <si>
    <t>115.5/s</t>
  </si>
  <si>
    <t>26.6ms</t>
  </si>
  <si>
    <t>108.1/s</t>
  </si>
  <si>
    <t>8.5ms</t>
  </si>
  <si>
    <t>40.7ms</t>
  </si>
  <si>
    <t>9.4ms</t>
  </si>
  <si>
    <t>52.1ms</t>
  </si>
  <si>
    <t>10.6ms</t>
  </si>
  <si>
    <t>-14.1ms</t>
  </si>
  <si>
    <t>59.5/s</t>
  </si>
  <si>
    <t>34.6%</t>
  </si>
  <si>
    <t>-25.5ms</t>
  </si>
  <si>
    <t>17.7ms</t>
  </si>
  <si>
    <t>48.9%</t>
  </si>
  <si>
    <t>39.0/s</t>
  </si>
  <si>
    <t>28.2ms</t>
  </si>
  <si>
    <t>50.1ms</t>
  </si>
  <si>
    <t>82.6ms</t>
  </si>
  <si>
    <t>87.4ms</t>
  </si>
  <si>
    <t>-32.5ms</t>
  </si>
  <si>
    <t>39.3%</t>
  </si>
  <si>
    <t>153.2/s</t>
  </si>
  <si>
    <t>-37.3ms</t>
  </si>
  <si>
    <t>148.3/s</t>
  </si>
  <si>
    <t>25.9ms</t>
  </si>
  <si>
    <t>42.7%</t>
  </si>
  <si>
    <t>27.1ms</t>
  </si>
  <si>
    <t>29.3ms</t>
  </si>
  <si>
    <t>97.7/s</t>
  </si>
  <si>
    <t>42.8ms</t>
  </si>
  <si>
    <t>75.7/s</t>
  </si>
  <si>
    <t>58.2ms</t>
  </si>
  <si>
    <t>97.3ms</t>
  </si>
  <si>
    <t>165.9ms</t>
  </si>
  <si>
    <t>156.9ms</t>
  </si>
  <si>
    <t>-68.6ms</t>
  </si>
  <si>
    <t>41.4%</t>
  </si>
  <si>
    <t>-59.6ms</t>
  </si>
  <si>
    <t>38.0%</t>
  </si>
  <si>
    <t>165.3/s</t>
  </si>
  <si>
    <t>48.1ms</t>
  </si>
  <si>
    <t>50.5ms</t>
  </si>
  <si>
    <t>158.3/s</t>
  </si>
  <si>
    <t>96.6/s</t>
  </si>
  <si>
    <t>52.4ms</t>
  </si>
  <si>
    <t>86.0ms</t>
  </si>
  <si>
    <t>90.5/s</t>
  </si>
  <si>
    <t>Concurrent Request Comparison — Single HTTP Request with N Prompts (p99)</t>
  </si>
  <si>
    <t>172.4/s</t>
  </si>
  <si>
    <t>92.1ms</t>
  </si>
  <si>
    <t>98.0ms</t>
  </si>
  <si>
    <t>163.0/s</t>
  </si>
  <si>
    <t>96.5/s</t>
  </si>
  <si>
    <t>104.0ms</t>
  </si>
  <si>
    <t>171.2ms</t>
  </si>
  <si>
    <t>101.1/s</t>
  </si>
  <si>
    <t>175.5ms</t>
  </si>
  <si>
    <t>Concurrent Request Testing (k6 constant-vus, C= 1, 4, 8, 16 concurrent HTTP requests; Exact 1,024 &amp; 2,048 tokens)</t>
  </si>
  <si>
    <t>-2.3ms</t>
  </si>
  <si>
    <t>18.1%</t>
  </si>
  <si>
    <t>-13.1ms</t>
  </si>
  <si>
    <t>55.7%</t>
  </si>
  <si>
    <t>-3.4ms</t>
  </si>
  <si>
    <t>14.9%</t>
  </si>
  <si>
    <t>-23.5ms</t>
  </si>
  <si>
    <t>54.8%</t>
  </si>
  <si>
    <t>-11.8ms</t>
  </si>
  <si>
    <t>26.5%</t>
  </si>
  <si>
    <t>-33.6ms</t>
  </si>
  <si>
    <t>50.7%</t>
  </si>
  <si>
    <t>134.1/s</t>
  </si>
  <si>
    <t>128.4/s</t>
  </si>
  <si>
    <t>6.6ms</t>
  </si>
  <si>
    <t>6.9ms</t>
  </si>
  <si>
    <t>8.0ms</t>
  </si>
  <si>
    <t>TPU v6e Opus Megakernel d3439062 ($2.70/hr) vs TPU v5e ($1.20 / $1.22/hr) &amp; NVIDIA L4 ($0.70/hr) — Matching Zhemin gid=1972899730 AS-IS</t>
  </si>
  <si>
    <t>-29.1ms</t>
  </si>
  <si>
    <t>32.4%</t>
  </si>
  <si>
    <t>-46.8ms</t>
  </si>
  <si>
    <t>43.5%</t>
  </si>
  <si>
    <t>-7.1ms</t>
  </si>
  <si>
    <t>40.1%</t>
  </si>
  <si>
    <t>394.5/s</t>
  </si>
  <si>
    <t>-17.6ms</t>
  </si>
  <si>
    <t>376.4/s</t>
  </si>
  <si>
    <t>62.4%</t>
  </si>
  <si>
    <t>9.3ms</t>
  </si>
  <si>
    <t>9.9ms</t>
  </si>
  <si>
    <t>12.3ms</t>
  </si>
  <si>
    <t>12.0ms</t>
  </si>
  <si>
    <t>TPU v6e d3439062 (ms)</t>
  </si>
  <si>
    <t>-13.5ms</t>
  </si>
  <si>
    <t>31.5%</t>
  </si>
  <si>
    <t>-28.9ms</t>
  </si>
  <si>
    <t>49.7%</t>
  </si>
  <si>
    <t>507.1/s</t>
  </si>
  <si>
    <t>14.8ms</t>
  </si>
  <si>
    <t>20.2ms</t>
  </si>
  <si>
    <t>519.2/s</t>
  </si>
  <si>
    <t>14.3ms</t>
  </si>
  <si>
    <t>19.7ms</t>
  </si>
  <si>
    <t>-4.4ms</t>
  </si>
  <si>
    <t>39.1%</t>
  </si>
  <si>
    <t>-44.9ms</t>
  </si>
  <si>
    <t>46.1%</t>
  </si>
  <si>
    <t>-13.6ms</t>
  </si>
  <si>
    <t>65.7%</t>
  </si>
  <si>
    <t>518.0/s</t>
  </si>
  <si>
    <t>30.1ms</t>
  </si>
  <si>
    <t>-67.2ms</t>
  </si>
  <si>
    <t>39.3ms</t>
  </si>
  <si>
    <t>546.4/s</t>
  </si>
  <si>
    <t>-71.5ms</t>
  </si>
  <si>
    <t>40.7%</t>
  </si>
  <si>
    <t>28.4ms</t>
  </si>
  <si>
    <t>37.4ms</t>
  </si>
  <si>
    <t>Concurrent Request Comparison — k6 Concurrent HTTP Requests VUS=1,4,8,16 (P50)</t>
  </si>
  <si>
    <t>-4.3ms</t>
  </si>
  <si>
    <t>20.3%</t>
  </si>
  <si>
    <t>99.0/s</t>
  </si>
  <si>
    <t>-21.2ms</t>
  </si>
  <si>
    <t>8.6ms</t>
  </si>
  <si>
    <t>105.8/s</t>
  </si>
  <si>
    <t>55.6%</t>
  </si>
  <si>
    <t>9.5ms</t>
  </si>
  <si>
    <t>-4.6ms</t>
  </si>
  <si>
    <t>40.0%</t>
  </si>
  <si>
    <t>-11.9ms</t>
  </si>
  <si>
    <t>-13.8ms</t>
  </si>
  <si>
    <t>290.1/s</t>
  </si>
  <si>
    <t>66.7%</t>
  </si>
  <si>
    <t>28.0%</t>
  </si>
  <si>
    <t>12.4ms</t>
  </si>
  <si>
    <t>-28.1ms</t>
  </si>
  <si>
    <t>294.8/s</t>
  </si>
  <si>
    <t>16.2ms</t>
  </si>
  <si>
    <t>47.9%</t>
  </si>
  <si>
    <t>15.6ms</t>
  </si>
  <si>
    <t>53.3%</t>
  </si>
  <si>
    <t>-28.2ms</t>
  </si>
  <si>
    <t>74.0%</t>
  </si>
  <si>
    <t>-26.9ms</t>
  </si>
  <si>
    <t>-38.0ms</t>
  </si>
  <si>
    <t>374.0/s</t>
  </si>
  <si>
    <t>39.4%</t>
  </si>
  <si>
    <t>26.0ms</t>
  </si>
  <si>
    <t>-27.7ms</t>
  </si>
  <si>
    <t>367.6/s</t>
  </si>
  <si>
    <t>65.2%</t>
  </si>
  <si>
    <t>20.1ms</t>
  </si>
  <si>
    <t>-43.9ms</t>
  </si>
  <si>
    <t>74.8%</t>
  </si>
  <si>
    <t>26.8ms</t>
  </si>
  <si>
    <t>-8.0ms</t>
  </si>
  <si>
    <t>48.5%</t>
  </si>
  <si>
    <t>-15.8ms</t>
  </si>
  <si>
    <t>302.3/s</t>
  </si>
  <si>
    <t>-55.3ms</t>
  </si>
  <si>
    <t>65.0%</t>
  </si>
  <si>
    <t>64.8%</t>
  </si>
  <si>
    <t>51.2ms</t>
  </si>
  <si>
    <t>-66.4ms</t>
  </si>
  <si>
    <t>68.8%</t>
  </si>
  <si>
    <t>366.9/s</t>
  </si>
  <si>
    <t>42.0ms</t>
  </si>
  <si>
    <t>50.0ms</t>
  </si>
  <si>
    <t>-7.9ms</t>
  </si>
  <si>
    <t>-14.8ms</t>
  </si>
  <si>
    <t>-15.7ms</t>
  </si>
  <si>
    <t>64.6%</t>
  </si>
  <si>
    <t>36.4%</t>
  </si>
  <si>
    <t>1KB Dedicated Saturation (Exact 1,024 Tokens per Request, FP32, p99 &lt; 50 ms SLA)</t>
  </si>
  <si>
    <t>-26.2ms</t>
  </si>
  <si>
    <t>50.3%</t>
  </si>
  <si>
    <t>-28.3ms</t>
  </si>
  <si>
    <t>69.5%</t>
  </si>
  <si>
    <t>-39.7ms</t>
  </si>
  <si>
    <t>RPS</t>
  </si>
  <si>
    <t>76.2%</t>
  </si>
  <si>
    <t>Achieved (TPU v6e d3439062)</t>
  </si>
  <si>
    <t>P50 (TPU v6e d3439062)</t>
  </si>
  <si>
    <t>P99 (TPU v6e d3439062)</t>
  </si>
  <si>
    <t>SLA (TPU v6e d3439062)</t>
  </si>
  <si>
    <t>Achieved (TPU v6e cb460828)</t>
  </si>
  <si>
    <t>Achieved (TPU v5e Zhemin)</t>
  </si>
  <si>
    <t>P50 (TPU v6e cb460828)</t>
  </si>
  <si>
    <t>P50 (TPU v5e Zhemin)</t>
  </si>
  <si>
    <t>P99 (TPU v5e Zhemin)</t>
  </si>
  <si>
    <t>P99 (TPU v6e cb460828)</t>
  </si>
  <si>
    <t>SLA (TPU v5e Zhemin)</t>
  </si>
  <si>
    <t>SLA (TPU v6e cb460828)</t>
  </si>
  <si>
    <t>-62.5ms</t>
  </si>
  <si>
    <t>75.7%</t>
  </si>
  <si>
    <t>-67.3ms</t>
  </si>
  <si>
    <t>77.0%</t>
  </si>
  <si>
    <t>— (PASS &lt;480)</t>
  </si>
  <si>
    <t>—</t>
  </si>
  <si>
    <t>-34.5ms</t>
  </si>
  <si>
    <t>41.8%</t>
  </si>
  <si>
    <t>PASS</t>
  </si>
  <si>
    <t>100.03</t>
  </si>
  <si>
    <t>-39.3ms</t>
  </si>
  <si>
    <t>7.2 ms</t>
  </si>
  <si>
    <t>45.0%</t>
  </si>
  <si>
    <t>11.5 ms</t>
  </si>
  <si>
    <t>8.5 ms</t>
  </si>
  <si>
    <t>14.0 ms</t>
  </si>
  <si>
    <t>100</t>
  </si>
  <si>
    <t>-123.9ms</t>
  </si>
  <si>
    <t>74.7%</t>
  </si>
  <si>
    <t>-114.9ms</t>
  </si>
  <si>
    <t>73.2%</t>
  </si>
  <si>
    <t>-73.8ms</t>
  </si>
  <si>
    <t>Concurrent Request Comparison — k6 Concurrent HTTP Requests VUS=1,4,8,16 (p99)</t>
  </si>
  <si>
    <t>44.5%</t>
  </si>
  <si>
    <t>-64.8ms</t>
  </si>
  <si>
    <t>41.3%</t>
  </si>
  <si>
    <t>120.03</t>
  </si>
  <si>
    <t>7.0 ms</t>
  </si>
  <si>
    <t>8.3 ms</t>
  </si>
  <si>
    <t>11.8 ms</t>
  </si>
  <si>
    <t>120</t>
  </si>
  <si>
    <t>15.5 ms</t>
  </si>
  <si>
    <t>-4.7ms</t>
  </si>
  <si>
    <t>37.0%</t>
  </si>
  <si>
    <t>-15.5ms</t>
  </si>
  <si>
    <t>66.0%</t>
  </si>
  <si>
    <t>140.05</t>
  </si>
  <si>
    <t>6.9 ms</t>
  </si>
  <si>
    <t>8.2 ms</t>
  </si>
  <si>
    <t>11.6 ms</t>
  </si>
  <si>
    <t>140</t>
  </si>
  <si>
    <t>18.5 ms</t>
  </si>
  <si>
    <t>-10.5ms</t>
  </si>
  <si>
    <t>-30.6ms</t>
  </si>
  <si>
    <t>71.3%</t>
  </si>
  <si>
    <t>36.2%</t>
  </si>
  <si>
    <t>-15.4ms</t>
  </si>
  <si>
    <t>-24.3ms</t>
  </si>
  <si>
    <t>54.6%</t>
  </si>
  <si>
    <t>65.5%</t>
  </si>
  <si>
    <t>-46.1ms</t>
  </si>
  <si>
    <t>160.04</t>
  </si>
  <si>
    <t>7.1 ms</t>
  </si>
  <si>
    <t>9.1 ms</t>
  </si>
  <si>
    <t>16.8 ms</t>
  </si>
  <si>
    <t>160</t>
  </si>
  <si>
    <t>-50.6ms</t>
  </si>
  <si>
    <t>24.2 ms</t>
  </si>
  <si>
    <t>56.3%</t>
  </si>
  <si>
    <t>-68.3ms</t>
  </si>
  <si>
    <t>63.5%</t>
  </si>
  <si>
    <t>20.6%</t>
  </si>
  <si>
    <t>-24.8ms</t>
  </si>
  <si>
    <t>57.8%</t>
  </si>
  <si>
    <t>-8.2ms</t>
  </si>
  <si>
    <t>46.3%</t>
  </si>
  <si>
    <t>-18.7ms</t>
  </si>
  <si>
    <t>66.3%</t>
  </si>
  <si>
    <t>180.07</t>
  </si>
  <si>
    <t>7.4 ms</t>
  </si>
  <si>
    <t>9.7 ms</t>
  </si>
  <si>
    <t>-26.6ms</t>
  </si>
  <si>
    <t>62.1%</t>
  </si>
  <si>
    <t>19.9 ms</t>
  </si>
  <si>
    <t>-42.0ms</t>
  </si>
  <si>
    <t>180.1</t>
  </si>
  <si>
    <t>29.6 ms</t>
  </si>
  <si>
    <t>72.2%</t>
  </si>
  <si>
    <t>-12.2ms</t>
  </si>
  <si>
    <t>27.4%</t>
  </si>
  <si>
    <t>-34.0ms</t>
  </si>
  <si>
    <t>51.3%</t>
  </si>
  <si>
    <t>-59.2ms</t>
  </si>
  <si>
    <t>-70.5ms</t>
  </si>
  <si>
    <t>72.5%</t>
  </si>
  <si>
    <t>190.04</t>
  </si>
  <si>
    <t>-121.2ms</t>
  </si>
  <si>
    <t>7.6 ms</t>
  </si>
  <si>
    <t>70.8%</t>
  </si>
  <si>
    <t>-125.5ms</t>
  </si>
  <si>
    <t>71.5%</t>
  </si>
  <si>
    <t>523.7 ms</t>
  </si>
  <si>
    <t>187.8</t>
  </si>
  <si>
    <t>-30.3ms</t>
  </si>
  <si>
    <t>762.7 ms</t>
  </si>
  <si>
    <t>33.7%</t>
  </si>
  <si>
    <t>SATURATED</t>
  </si>
  <si>
    <t>RPS Saturation Result (p99 &lt; 50 ms SLA)</t>
  </si>
  <si>
    <t>-48.0ms</t>
  </si>
  <si>
    <t>44.6%</t>
  </si>
  <si>
    <t>Payload</t>
  </si>
  <si>
    <t>Setup</t>
  </si>
  <si>
    <t>p50</t>
  </si>
  <si>
    <t>p99</t>
  </si>
  <si>
    <t>RPS Improvement (vs L4 GPU)</t>
  </si>
  <si>
    <t>RPS Improvement (vs TPU v5e)</t>
  </si>
  <si>
    <t>1K</t>
  </si>
  <si>
    <t>L4 GPU</t>
  </si>
  <si>
    <t>70/s</t>
  </si>
  <si>
    <t>200.05</t>
  </si>
  <si>
    <t>-8.3ms</t>
  </si>
  <si>
    <t>Baseline</t>
  </si>
  <si>
    <t>7.7 ms</t>
  </si>
  <si>
    <t>46.9%</t>
  </si>
  <si>
    <t>1709 ms</t>
  </si>
  <si>
    <t>-18.8ms</t>
  </si>
  <si>
    <t>TPU v5e</t>
  </si>
  <si>
    <t>2818 ms</t>
  </si>
  <si>
    <t>189</t>
  </si>
  <si>
    <t>180/s (187/s max achieved)</t>
  </si>
  <si>
    <t>19.9ms</t>
  </si>
  <si>
    <t>29.6ms</t>
  </si>
  <si>
    <t>+157.1%</t>
  </si>
  <si>
    <t>TPU v6e (Opus Megakernel cb460828, 10-RPS grid)</t>
  </si>
  <si>
    <t>490/s</t>
  </si>
  <si>
    <t>14.1ms</t>
  </si>
  <si>
    <t>46.3ms</t>
  </si>
  <si>
    <t>+600.0% (7.00x)</t>
  </si>
  <si>
    <t>+172.2% vs 180/s (+162.0% vs 187/s)</t>
  </si>
  <si>
    <t>TPU v6e (Opus Megakernel cb460828, 20-RPS grid)</t>
  </si>
  <si>
    <t>480/s</t>
  </si>
  <si>
    <t>36.7%</t>
  </si>
  <si>
    <t>12.6ms</t>
  </si>
  <si>
    <t>-31.1ms</t>
  </si>
  <si>
    <t>27.9ms</t>
  </si>
  <si>
    <t>220.05</t>
  </si>
  <si>
    <t>+585.7% (6.86x)</t>
  </si>
  <si>
    <t>53.4%</t>
  </si>
  <si>
    <t>+166.7% vs 180/s (+156.7% vs 187/s)</t>
  </si>
  <si>
    <t>3738 ms</t>
  </si>
  <si>
    <t>9.4 ms</t>
  </si>
  <si>
    <t>2K</t>
  </si>
  <si>
    <t>6182 ms</t>
  </si>
  <si>
    <t>40/s</t>
  </si>
  <si>
    <t>187.9</t>
  </si>
  <si>
    <t>90/s</t>
  </si>
  <si>
    <t>17.2ms</t>
  </si>
  <si>
    <t>26.5ms</t>
  </si>
  <si>
    <t>+125.0%</t>
  </si>
  <si>
    <t>-35.5ms</t>
  </si>
  <si>
    <t>TPU v6e (Opus Megakernel cb460828, max PASS)</t>
  </si>
  <si>
    <t>320/s</t>
  </si>
  <si>
    <t>48.1%</t>
  </si>
  <si>
    <t>240.06</t>
  </si>
  <si>
    <t>25.3ms</t>
  </si>
  <si>
    <t>+700.0% (8.00x)</t>
  </si>
  <si>
    <t>8.1 ms</t>
  </si>
  <si>
    <t>+255.6% (3.56x)</t>
  </si>
  <si>
    <t>9.6 ms</t>
  </si>
  <si>
    <t>SATURATED (&gt;180 RPS)</t>
  </si>
  <si>
    <t>TPU v6e (Opus Megakernel cb460828, 300 RPS target)</t>
  </si>
  <si>
    <t>300/s</t>
  </si>
  <si>
    <t>12.9ms</t>
  </si>
  <si>
    <t>18.6ms</t>
  </si>
  <si>
    <t>+650.0% (7.50x)</t>
  </si>
  <si>
    <t>+233.3% (3.33x)</t>
  </si>
  <si>
    <t>Cost Improvement (Matching Zhemin's Formula: Hourly Cost / (0.40 * Max RPS * 3600) * 1,000,000)</t>
  </si>
  <si>
    <t>-73.2ms</t>
  </si>
  <si>
    <t>42.8%</t>
  </si>
  <si>
    <t>-77.5ms</t>
  </si>
  <si>
    <t>Machine Type</t>
  </si>
  <si>
    <t>44.2%</t>
  </si>
  <si>
    <t>Machine Config</t>
  </si>
  <si>
    <t>Hourly Cost</t>
  </si>
  <si>
    <t>Cost per 1M request (1K Payload)</t>
  </si>
  <si>
    <t>Cost per 1M request (2K Payload)</t>
  </si>
  <si>
    <t>1K Max RPS</t>
  </si>
  <si>
    <t>260.07</t>
  </si>
  <si>
    <t>2K Max RPS</t>
  </si>
  <si>
    <t>7.9 ms</t>
  </si>
  <si>
    <t>g2-standard-4</t>
  </si>
  <si>
    <t>10.3 ms</t>
  </si>
  <si>
    <t>L4 GPUs: 1 | vCPUs: 4 | Memory: 16GiB | GPU Memory: 24GiB</t>
  </si>
  <si>
    <t>280.08</t>
  </si>
  <si>
    <t>10.9 ms</t>
  </si>
  <si>
    <t>-4.9ms</t>
  </si>
  <si>
    <t>42.6%</t>
  </si>
  <si>
    <t>68.1%</t>
  </si>
  <si>
    <t>56.1%</t>
  </si>
  <si>
    <t>-28.8ms</t>
  </si>
  <si>
    <t>75.6%</t>
  </si>
  <si>
    <t>300.08</t>
  </si>
  <si>
    <t>11.2 ms</t>
  </si>
  <si>
    <t>ct5lp-hightpu-1t (Zhemin sheet $1.20, 187/90 RPS)</t>
  </si>
  <si>
    <t>vCPUs: 24 | Memory: 48 GB | TPU HBM: 16 GB</t>
  </si>
  <si>
    <t>66.4%</t>
  </si>
  <si>
    <t>-44.4ms</t>
  </si>
  <si>
    <t>ct5lp-hightpu-1t (OD $1.22, 187/90 RPS)</t>
  </si>
  <si>
    <t>-57.0ms</t>
  </si>
  <si>
    <t>320.06</t>
  </si>
  <si>
    <t>8.4 ms</t>
  </si>
  <si>
    <t>12.8 ms</t>
  </si>
  <si>
    <t>-68.1ms</t>
  </si>
  <si>
    <t>70.6%</t>
  </si>
  <si>
    <t>ct5lp-hightpu-1t (OD $1.22, SLA-passing 180/90 RPS)</t>
  </si>
  <si>
    <t>ct6e-standard-1t (Opus Megakernel cb460828, 490/320 RPS max PASS)</t>
  </si>
  <si>
    <t>TPU v6e: 1 chip | vCPUs: 44 | Memory: 176 GB | TPU HBM: 32 GB</t>
  </si>
  <si>
    <t>-8.5ms</t>
  </si>
  <si>
    <t>51.5%</t>
  </si>
  <si>
    <t>-16.3ms</t>
  </si>
  <si>
    <t>340.15</t>
  </si>
  <si>
    <t>67.1%</t>
  </si>
  <si>
    <t>8.7 ms</t>
  </si>
  <si>
    <t>13.1 ms</t>
  </si>
  <si>
    <t>ct6e-standard-1t (Opus Megakernel cb460828, 480/320 RPS 20-RPS grid)</t>
  </si>
  <si>
    <t>Cost Improvement (v5e $1.20 vs L4 $0.70 — Zhemin Baseline)</t>
  </si>
  <si>
    <t>-28.4ms</t>
  </si>
  <si>
    <t>69.8%</t>
  </si>
  <si>
    <t>-39.8ms</t>
  </si>
  <si>
    <t>76.4%</t>
  </si>
  <si>
    <t>360.19</t>
  </si>
  <si>
    <t>9.3 ms</t>
  </si>
  <si>
    <t>15.3 ms</t>
  </si>
  <si>
    <t>-62.9ms</t>
  </si>
  <si>
    <t>-67.7ms</t>
  </si>
  <si>
    <t>77.5%</t>
  </si>
  <si>
    <t>Cost Improvement (v6e $2.70 vs L4 $0.70 — 490 / 320 RPS)</t>
  </si>
  <si>
    <t>380.21</t>
  </si>
  <si>
    <t>14.4 ms</t>
  </si>
  <si>
    <t>-114.7ms</t>
  </si>
  <si>
    <t>69.1%</t>
  </si>
  <si>
    <t>-105.7ms</t>
  </si>
  <si>
    <t>67.4%</t>
  </si>
  <si>
    <t>Cost Improvement (v6e $2.70 vs L4 $0.70 — 480 / 320 RPS)</t>
  </si>
  <si>
    <t>400.28</t>
  </si>
  <si>
    <t>10.1 ms</t>
  </si>
  <si>
    <t>Cost Improvement (v6e $2.70 vs v5e $1.20 @ 187/90 RPS — 490/320 RPS)</t>
  </si>
  <si>
    <t>16.3 ms</t>
  </si>
  <si>
    <t>Cost Improvement (v6e $2.70 vs v5e $1.22 @ 187/90 RPS — 490/320 RPS)</t>
  </si>
  <si>
    <t>420.45</t>
  </si>
  <si>
    <t>9.8 ms</t>
  </si>
  <si>
    <t>17.5 ms</t>
  </si>
  <si>
    <t>-5.6ms</t>
  </si>
  <si>
    <t>44.1%</t>
  </si>
  <si>
    <t>-16.4ms</t>
  </si>
  <si>
    <t>Cost Improvement (v6e $2.70 vs v5e $1.22 @ 180/90 RPS — 490/320 RPS)</t>
  </si>
  <si>
    <t>-10.8ms</t>
  </si>
  <si>
    <t>47.4%</t>
  </si>
  <si>
    <t>-30.9ms</t>
  </si>
  <si>
    <t>72.0%</t>
  </si>
  <si>
    <t>440.21</t>
  </si>
  <si>
    <t>11.3 ms</t>
  </si>
  <si>
    <t>19.7 ms</t>
  </si>
  <si>
    <t>21.5 ms</t>
  </si>
  <si>
    <t>-46.6ms</t>
  </si>
  <si>
    <t>70.3%</t>
  </si>
  <si>
    <t>460.31</t>
  </si>
  <si>
    <t>-52.5ms</t>
  </si>
  <si>
    <t>58.4%</t>
  </si>
  <si>
    <t>25.0 ms</t>
  </si>
  <si>
    <t>-70.2ms</t>
  </si>
  <si>
    <t>-8.7ms</t>
  </si>
  <si>
    <t>49.2%</t>
  </si>
  <si>
    <t>-19.2ms</t>
  </si>
  <si>
    <t>-27.2ms</t>
  </si>
  <si>
    <t>63.6%</t>
  </si>
  <si>
    <t>480.45</t>
  </si>
  <si>
    <t>-42.6ms</t>
  </si>
  <si>
    <t>12.6 ms</t>
  </si>
  <si>
    <t>27.9 ms</t>
  </si>
  <si>
    <t>-60.0ms</t>
  </si>
  <si>
    <t>-71.3ms</t>
  </si>
  <si>
    <t>73.3%</t>
  </si>
  <si>
    <t>490.28</t>
  </si>
  <si>
    <t>14.1 ms</t>
  </si>
  <si>
    <t>12.2 ms</t>
  </si>
  <si>
    <t>46.3 ms</t>
  </si>
  <si>
    <t>23.4 ms</t>
  </si>
  <si>
    <t>-113.0ms</t>
  </si>
  <si>
    <t>-117.3ms</t>
  </si>
  <si>
    <t>66.8%</t>
  </si>
  <si>
    <t>500.55</t>
  </si>
  <si>
    <t>13.7 ms</t>
  </si>
  <si>
    <t>71.3 ms</t>
  </si>
  <si>
    <t>36.1 ms</t>
  </si>
  <si>
    <t>47.9 ms</t>
  </si>
  <si>
    <t>510.42</t>
  </si>
  <si>
    <t>TPU v6e (Opus Megakernel d3439062, 10-RPS grid)</t>
  </si>
  <si>
    <t>16.1 ms</t>
  </si>
  <si>
    <t>104.2 ms</t>
  </si>
  <si>
    <t>530/s</t>
  </si>
  <si>
    <t>13.1ms</t>
  </si>
  <si>
    <t>47.9ms</t>
  </si>
  <si>
    <t>+657.1% (7.57x)</t>
  </si>
  <si>
    <t>+194.4% vs 180/s (+183.4% vs 187/s)</t>
  </si>
  <si>
    <t>TPU v6e (Opus Megakernel d3439062, 20-RPS grid)</t>
  </si>
  <si>
    <t>520/s</t>
  </si>
  <si>
    <t>12.8ms</t>
  </si>
  <si>
    <t>15.7 ms</t>
  </si>
  <si>
    <t>36.1ms</t>
  </si>
  <si>
    <t>121.1 ms</t>
  </si>
  <si>
    <t>+642.9% (7.43x)</t>
  </si>
  <si>
    <t>+188.9% vs 180/s (+178.1% vs 187/s)</t>
  </si>
  <si>
    <t>517.55</t>
  </si>
  <si>
    <t>21.2 ms</t>
  </si>
  <si>
    <t>533.7 ms</t>
  </si>
  <si>
    <t>52.0 ms</t>
  </si>
  <si>
    <t>564.0 ms</t>
  </si>
  <si>
    <t>2KB Dedicated Saturation (Exact 2,048 Tokens per Request, FP32, p99 &lt; 50 ms SLA)</t>
  </si>
  <si>
    <t>TPU v6e (Opus Megakernel d3439062, max PASS)</t>
  </si>
  <si>
    <t>350/s</t>
  </si>
  <si>
    <t>11.7ms</t>
  </si>
  <si>
    <t>25.2ms</t>
  </si>
  <si>
    <t>+775.0% (8.75x)</t>
  </si>
  <si>
    <t>+288.9% (3.89x)</t>
  </si>
  <si>
    <t>340/s</t>
  </si>
  <si>
    <t>27.0ms</t>
  </si>
  <si>
    <t>+750.0% (8.50x)</t>
  </si>
  <si>
    <t>+277.8% (3.78x)</t>
  </si>
  <si>
    <t>90.03</t>
  </si>
  <si>
    <t>8.6 ms</t>
  </si>
  <si>
    <t>9.9 ms</t>
  </si>
  <si>
    <t>90</t>
  </si>
  <si>
    <t>17.2 ms</t>
  </si>
  <si>
    <t>26.5 ms</t>
  </si>
  <si>
    <t>— (PASS &lt;280)</t>
  </si>
  <si>
    <t>95.03</t>
  </si>
  <si>
    <t>10.2 ms</t>
  </si>
  <si>
    <t>94.75</t>
  </si>
  <si>
    <t>218.6 ms</t>
  </si>
  <si>
    <t>346.5 ms</t>
  </si>
  <si>
    <t>96.32</t>
  </si>
  <si>
    <t>1031 ms</t>
  </si>
  <si>
    <t>2185 ms</t>
  </si>
  <si>
    <t>ct6e-standard-1t (Opus Megakernel d3439062, 530/350 RPS max PASS)</t>
  </si>
  <si>
    <t>ct6e-standard-1t (Opus Megakernel d3439062, 520/340 RPS 20-RPS grid)</t>
  </si>
  <si>
    <t>110.03</t>
  </si>
  <si>
    <t>10.0 ms</t>
  </si>
  <si>
    <t>96.74</t>
  </si>
  <si>
    <t>3208 ms</t>
  </si>
  <si>
    <t>5170 ms</t>
  </si>
  <si>
    <t>Cost Improvement (v6e $2.70 vs L4 $0.70 — 530 / 350 RPS)</t>
  </si>
  <si>
    <t>Cost Improvement (v6e $2.70 vs L4 $0.70 — 520 / 340 RPS)</t>
  </si>
  <si>
    <t>10.4 ms</t>
  </si>
  <si>
    <t>SATURATED (&gt;90 RPS)</t>
  </si>
  <si>
    <t>Cost Improvement (v6e $2.70 vs v5e $1.20 @ 187/90 RPS — 530/350 RPS)</t>
  </si>
  <si>
    <t>Cost Improvement (v6e $2.70 vs v5e $1.22 @ 187/90 RPS — 530/350 RPS)</t>
  </si>
  <si>
    <t>130.05</t>
  </si>
  <si>
    <t>8.8 ms</t>
  </si>
  <si>
    <t>Cost Improvement (v6e $2.70 vs v5e $1.22 @ 180/90 RPS — 530/350 RPS)</t>
  </si>
  <si>
    <t>12.9 ms</t>
  </si>
  <si>
    <t>150.05</t>
  </si>
  <si>
    <t>12.7 ms</t>
  </si>
  <si>
    <t>160.05</t>
  </si>
  <si>
    <t>11.1 ms</t>
  </si>
  <si>
    <t>12.5 ms</t>
  </si>
  <si>
    <t>170.04</t>
  </si>
  <si>
    <t>180.06</t>
  </si>
  <si>
    <t>10.5 ms</t>
  </si>
  <si>
    <t>12.0 ms</t>
  </si>
  <si>
    <t>11.9 ms</t>
  </si>
  <si>
    <t>200.04</t>
  </si>
  <si>
    <t>220.06</t>
  </si>
  <si>
    <t>13.9 ms</t>
  </si>
  <si>
    <t>260.08</t>
  </si>
  <si>
    <t>15.1 ms</t>
  </si>
  <si>
    <t>10.7 ms</t>
  </si>
  <si>
    <t>16.2 ms</t>
  </si>
  <si>
    <t>280.14</t>
  </si>
  <si>
    <t>16.7 ms</t>
  </si>
  <si>
    <t>12.4 ms</t>
  </si>
  <si>
    <t>17.0 ms</t>
  </si>
  <si>
    <t>300.10</t>
  </si>
  <si>
    <t>18.6 ms</t>
  </si>
  <si>
    <t>— (PASS &lt;340)</t>
  </si>
  <si>
    <t>310.17</t>
  </si>
  <si>
    <t>18.1 ms</t>
  </si>
  <si>
    <t>320.17</t>
  </si>
  <si>
    <t>25.3 ms</t>
  </si>
  <si>
    <t>330.10</t>
  </si>
  <si>
    <t>57.1 ms</t>
  </si>
  <si>
    <t>27.0 ms</t>
  </si>
  <si>
    <t>340.37</t>
  </si>
  <si>
    <t>13.6 ms</t>
  </si>
  <si>
    <t>138.7 ms</t>
  </si>
  <si>
    <t>11.7 ms</t>
  </si>
  <si>
    <t>25.2 ms</t>
  </si>
  <si>
    <t>348.05</t>
  </si>
  <si>
    <t>271.2 ms</t>
  </si>
  <si>
    <t>2526.2 ms</t>
  </si>
  <si>
    <t>89.3 ms</t>
  </si>
  <si>
    <t>87.4 ms</t>
  </si>
  <si>
    <t>325.1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</si>
</sst>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0.00% &quot;reduction&quot;"/>
  </numFmts>
  <fonts count="8">
    <font>
      <sz val="10.0"/>
      <color rgb="FF000000"/>
      <name val="Calibri"/>
      <scheme val="minor"/>
    </font>
    <font>
      <sz val="12.0"/>
      <color rgb="FFA31515"/>
      <name val="Ui-monospace"/>
    </font>
    <font>
      <b/>
      <color rgb="FFA31515"/>
      <name val="Ui-monospace"/>
    </font>
    <font>
      <b/>
      <u/>
      <color rgb="FFA31515"/>
      <name val="Ui-monospace"/>
    </font>
    <font>
      <color theme="1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quotePrefix="1"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horizontal="right" readingOrder="0" shrinkToFit="0" vertical="center" wrapText="1"/>
    </xf>
    <xf borderId="0" fillId="0" fontId="4" numFmtId="165" xfId="0" applyAlignment="1" applyFont="1" applyNumberForma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20">
    <tableStyle count="4" pivot="0" name="Comparison_gid19728997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gid11617553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d34390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d343906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gid1972899730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gid1161755388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gid1972899730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d343906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gid1161755388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gid1972899730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gid1161755388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6e_Megakernel_d343906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gid1972899730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mparison_gid1972899730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mparison_d34390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d343906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d343906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d343906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ison_d343906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mparison_d3439062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K14" displayName="Table2" name="Table2" id="2">
  <tableColumns count="11">
    <tableColumn name="Payload Size" id="1"/>
    <tableColumn name="Concurrency" id="2"/>
    <tableColumn name="Throughput (TPU v6e cb460828)" id="3"/>
    <tableColumn name="p50 (TPU v6e cb460828)" id="4"/>
    <tableColumn name="p99 (TPU v6e cb460828)" id="5"/>
    <tableColumn name="Throughput (TPU v5e Zhemin)" id="6"/>
    <tableColumn name="p50 (TPU v5e Zhemin)" id="7"/>
    <tableColumn name="p99 (TPU v5e Zhemin)" id="8"/>
    <tableColumn name="Throughput (L4 GPU Zhemin)" id="9"/>
    <tableColumn name="p50 (L4 GPU Zhemin)" id="10"/>
    <tableColumn name="p99 (L4 GPU Zhemin)" id="11"/>
  </tableColumns>
  <tableStyleInfo name="v6e_Megakernel_gid1161755388-style" showColumnStripes="0" showFirstColumn="1" showLastColumn="1" showRowStripes="1"/>
</table>
</file>

<file path=xl/tables/table2.xml><?xml version="1.0" encoding="utf-8"?>
<table xmlns="http://schemas.openxmlformats.org/spreadsheetml/2006/main" ref="A19:K27" displayName="Table1" name="Table1" id="4">
  <tableColumns count="11">
    <tableColumn name="Payload Size" id="1"/>
    <tableColumn name="Concurrency" id="2"/>
    <tableColumn name="Throughput (TPU v6e cb460828)" id="3"/>
    <tableColumn name="p50 (TPU v6e cb460828)" id="4"/>
    <tableColumn name="p99 (TPU v6e cb460828)" id="5"/>
    <tableColumn name="Throughput (TPU v5e Zhemin)" id="6"/>
    <tableColumn name="p50 (TPU v5e Zhemin)" id="7"/>
    <tableColumn name="p99 (TPU v5e Zhemin)" id="8"/>
    <tableColumn name="Throughput (L4 GPU Zhemin)" id="9"/>
    <tableColumn name="p50 (L4 GPU Zhemin)" id="10"/>
    <tableColumn name="p99 (L4 GPU Zhemin)" id="11"/>
  </tableColumns>
  <tableStyleInfo name="v6e_Megakernel_gid1161755388-style 2" showColumnStripes="0" showFirstColumn="1" showLastColumn="1" showRowStripes="1"/>
</table>
</file>

<file path=xl/tables/table3.xml><?xml version="1.0" encoding="utf-8"?>
<table xmlns="http://schemas.openxmlformats.org/spreadsheetml/2006/main" ref="A32:I57" displayName="Table3" name="Table3" id="9">
  <tableColumns count="9">
    <tableColumn name="RPS" id="1"/>
    <tableColumn name="Achieved (TPU v6e cb460828)" id="2"/>
    <tableColumn name="P50 (TPU v6e cb460828)" id="3"/>
    <tableColumn name="P99 (TPU v6e cb460828)" id="4"/>
    <tableColumn name="SLA (TPU v6e cb460828)" id="5"/>
    <tableColumn name="Achieved (TPU v5e Zhemin)" id="6"/>
    <tableColumn name="P50 (TPU v5e Zhemin)" id="7"/>
    <tableColumn name="P99 (TPU v5e Zhemin)" id="8"/>
    <tableColumn name="SLA (TPU v5e Zhemin)" id="9"/>
  </tableColumns>
  <tableStyleInfo name="v6e_Megakernel_gid1161755388-style 3" showColumnStripes="0" showFirstColumn="1" showLastColumn="1" showRowStripes="1"/>
</table>
</file>

<file path=xl/tables/table4.xml><?xml version="1.0" encoding="utf-8"?>
<table xmlns="http://schemas.openxmlformats.org/spreadsheetml/2006/main" ref="A61:I84" displayName="Table4" name="Table4" id="11">
  <tableColumns count="9">
    <tableColumn name="RPS" id="1"/>
    <tableColumn name="Achieved (TPU v6e cb460828)" id="2"/>
    <tableColumn name="P50 (TPU v6e cb460828)" id="3"/>
    <tableColumn name="P99 (TPU v6e cb460828)" id="4"/>
    <tableColumn name="SLA (TPU v6e cb460828)" id="5"/>
    <tableColumn name="Achieved (TPU v5e Zhemin)" id="6"/>
    <tableColumn name="P50 (TPU v5e Zhemin)" id="7"/>
    <tableColumn name="P99 (TPU v5e Zhemin)" id="8"/>
    <tableColumn name="SLA (TPU v5e Zhemin)" id="9"/>
  </tableColumns>
  <tableStyleInfo name="v6e_Megakernel_gid1161755388-style 4" showColumnStripes="0" showFirstColumn="1" showLastColumn="1" showRowStripes="1"/>
</table>
</file>

<file path=xl/tables/table5.xml><?xml version="1.0" encoding="utf-8"?>
<table xmlns="http://schemas.openxmlformats.org/spreadsheetml/2006/main" ref="A5:J13" displayName="Table5" name="Table5" id="3">
  <tableColumns count="10">
    <tableColumn name="Payload Size" id="1"/>
    <tableColumn name="Concurrency" id="2"/>
    <tableColumn name="TPU v6e cb460828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gid1972899730-style" showColumnStripes="0" showFirstColumn="1" showLastColumn="1" showRowStripes="1"/>
</table>
</file>

<file path=xl/tables/table6.xml><?xml version="1.0" encoding="utf-8"?>
<table xmlns="http://schemas.openxmlformats.org/spreadsheetml/2006/main" ref="A17:J25" displayName="Table6" name="Table6" id="5">
  <tableColumns count="10">
    <tableColumn name="Payload Size" id="1"/>
    <tableColumn name="Concurrency" id="2"/>
    <tableColumn name="TPU v6e cb460828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gid1972899730-style 2" showColumnStripes="0" showFirstColumn="1" showLastColumn="1" showRowStripes="1"/>
</table>
</file>

<file path=xl/tables/table7.xml><?xml version="1.0" encoding="utf-8"?>
<table xmlns="http://schemas.openxmlformats.org/spreadsheetml/2006/main" ref="A29:J37" displayName="Table7" name="Table7" id="7">
  <tableColumns count="10">
    <tableColumn name="Payload Size" id="1"/>
    <tableColumn name="Concurrency" id="2"/>
    <tableColumn name="TPU v6e cb460828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gid1972899730-style 3" showColumnStripes="0" showFirstColumn="1" showLastColumn="1" showRowStripes="1"/>
</table>
</file>

<file path=xl/tables/table8.xml><?xml version="1.0" encoding="utf-8"?>
<table xmlns="http://schemas.openxmlformats.org/spreadsheetml/2006/main" ref="A41:J49" displayName="ConcurrentRequests_p99_k6" name="ConcurrentRequests_p99_k6" id="10">
  <tableColumns count="10">
    <tableColumn name="Payload Size" id="1"/>
    <tableColumn name="Concurrency" id="2"/>
    <tableColumn name="TPU v6e cb460828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gid1972899730-style 4" showColumnStripes="0" showFirstColumn="1" showLastColumn="1" showRowStripes="1"/>
</table>
</file>

<file path=xl/tables/table9.xml><?xml version="1.0" encoding="utf-8"?>
<table xmlns="http://schemas.openxmlformats.org/spreadsheetml/2006/main" ref="A53:G61" displayName="Table8" name="Table8" id="13">
  <tableColumns count="7">
    <tableColumn name="Payload" id="1"/>
    <tableColumn name="Setup" id="2"/>
    <tableColumn name="RPS" id="3"/>
    <tableColumn name="p50" id="4"/>
    <tableColumn name="p99" id="5"/>
    <tableColumn name="RPS Improvement (vs L4 GPU)" id="6"/>
    <tableColumn name="RPS Improvement (vs TPU v5e)" id="7"/>
  </tableColumns>
  <tableStyleInfo name="Comparison_gid1972899730-style 5" showColumnStripes="0" showFirstColumn="1" showLastColumn="1" showRowStripes="1"/>
</table>
</file>

<file path=xl/tables/table10.xml><?xml version="1.0" encoding="utf-8"?>
<table xmlns="http://schemas.openxmlformats.org/spreadsheetml/2006/main" totalsRowCount="1" ref="A65:G77" displayName="Table9" name="Table9" id="14">
  <tableColumns count="7">
    <tableColumn totalsRowLabel="Cost Improvement (v6e $2.70 vs v5e $1.22 @ 180/90 RPS — 490/320 RPS)" name="Machine Type" id="1"/>
    <tableColumn name="Machine Config" id="2"/>
    <tableColumn name="Hourly Cost" id="3"/>
    <tableColumn totalsRowFunction="custom" name="Cost per 1M request (1K Payload)" id="4"/>
    <tableColumn totalsRowFunction="custom" name="Cost per 1M request (2K Payload)" id="5"/>
    <tableColumn name="1K Max RPS" id="6"/>
    <tableColumn name="2K Max RPS" id="7"/>
  </tableColumns>
  <tableStyleInfo name="Comparison_gid1972899730-style 6" showColumnStripes="0" showFirstColumn="1" showLastColumn="1" showRowStripes="1"/>
</table>
</file>

<file path=xl/tables/table11.xml><?xml version="1.0" encoding="utf-8"?>
<table xmlns="http://schemas.openxmlformats.org/spreadsheetml/2006/main" ref="A6:K14" displayName="Table2_2" name="Table2_2" id="1">
  <tableColumns count="11">
    <tableColumn name="Payload Size" id="1"/>
    <tableColumn name="Concurrency" id="2"/>
    <tableColumn name="Throughput (TPU v6e d3439062)" id="3"/>
    <tableColumn name="p50 (TPU v6e d3439062)" id="4"/>
    <tableColumn name="p99 (TPU v6e d3439062)" id="5"/>
    <tableColumn name="Throughput (TPU v5e Zhemin)" id="6"/>
    <tableColumn name="p50 (TPU v5e Zhemin)" id="7"/>
    <tableColumn name="p99 (TPU v5e Zhemin)" id="8"/>
    <tableColumn name="Throughput (L4 GPU Zhemin)" id="9"/>
    <tableColumn name="p50 (L4 GPU Zhemin)" id="10"/>
    <tableColumn name="p99 (L4 GPU Zhemin)" id="11"/>
  </tableColumns>
  <tableStyleInfo name="v6e_Megakernel_d3439062-style" showColumnStripes="0" showFirstColumn="1" showLastColumn="1" showRowStripes="1"/>
</table>
</file>

<file path=xl/tables/table12.xml><?xml version="1.0" encoding="utf-8"?>
<table xmlns="http://schemas.openxmlformats.org/spreadsheetml/2006/main" ref="A19:K27" displayName="Table1_2" name="Table1_2" id="6">
  <tableColumns count="11">
    <tableColumn name="Payload Size" id="1"/>
    <tableColumn name="Concurrency" id="2"/>
    <tableColumn name="Throughput (TPU v6e d3439062)" id="3"/>
    <tableColumn name="p50 (TPU v6e d3439062)" id="4"/>
    <tableColumn name="p99 (TPU v6e d3439062)" id="5"/>
    <tableColumn name="Throughput (TPU v5e Zhemin)" id="6"/>
    <tableColumn name="p50 (TPU v5e Zhemin)" id="7"/>
    <tableColumn name="p99 (TPU v5e Zhemin)" id="8"/>
    <tableColumn name="Throughput (L4 GPU Zhemin)" id="9"/>
    <tableColumn name="p50 (L4 GPU Zhemin)" id="10"/>
    <tableColumn name="p99 (L4 GPU Zhemin)" id="11"/>
  </tableColumns>
  <tableStyleInfo name="v6e_Megakernel_d3439062-style 2" showColumnStripes="0" showFirstColumn="1" showLastColumn="1" showRowStripes="1"/>
</table>
</file>

<file path=xl/tables/table13.xml><?xml version="1.0" encoding="utf-8"?>
<table xmlns="http://schemas.openxmlformats.org/spreadsheetml/2006/main" ref="A32:I60" displayName="Table3_2" name="Table3_2" id="8">
  <tableColumns count="9">
    <tableColumn name="RPS" id="1"/>
    <tableColumn name="Achieved (TPU v6e d3439062)" id="2"/>
    <tableColumn name="P50 (TPU v6e d3439062)" id="3"/>
    <tableColumn name="P99 (TPU v6e d3439062)" id="4"/>
    <tableColumn name="SLA (TPU v6e d3439062)" id="5"/>
    <tableColumn name="Achieved (TPU v5e Zhemin)" id="6"/>
    <tableColumn name="P50 (TPU v5e Zhemin)" id="7"/>
    <tableColumn name="P99 (TPU v5e Zhemin)" id="8"/>
    <tableColumn name="SLA (TPU v5e Zhemin)" id="9"/>
  </tableColumns>
  <tableStyleInfo name="v6e_Megakernel_d3439062-style 3" showColumnStripes="0" showFirstColumn="1" showLastColumn="1" showRowStripes="1"/>
</table>
</file>

<file path=xl/tables/table14.xml><?xml version="1.0" encoding="utf-8"?>
<table xmlns="http://schemas.openxmlformats.org/spreadsheetml/2006/main" ref="A64:I89" displayName="Table4_2" name="Table4_2" id="12">
  <tableColumns count="9">
    <tableColumn name="RPS" id="1"/>
    <tableColumn name="Achieved (TPU v6e d3439062)" id="2"/>
    <tableColumn name="P50 (TPU v6e d3439062)" id="3"/>
    <tableColumn name="P99 (TPU v6e d3439062)" id="4"/>
    <tableColumn name="SLA (TPU v6e d3439062)" id="5"/>
    <tableColumn name="Achieved (TPU v5e Zhemin)" id="6"/>
    <tableColumn name="P50 (TPU v5e Zhemin)" id="7"/>
    <tableColumn name="P99 (TPU v5e Zhemin)" id="8"/>
    <tableColumn name="SLA (TPU v5e Zhemin)" id="9"/>
  </tableColumns>
  <tableStyleInfo name="v6e_Megakernel_d3439062-style 4" showColumnStripes="0" showFirstColumn="1" showLastColumn="1" showRowStripes="1"/>
</table>
</file>

<file path=xl/tables/table15.xml><?xml version="1.0" encoding="utf-8"?>
<table xmlns="http://schemas.openxmlformats.org/spreadsheetml/2006/main" ref="A5:J13" displayName="Table5_2" name="Table5_2" id="15">
  <tableColumns count="10">
    <tableColumn name="Payload Size" id="1"/>
    <tableColumn name="Concurrency" id="2"/>
    <tableColumn name="TPU v6e d3439062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d3439062-style" showColumnStripes="0" showFirstColumn="1" showLastColumn="1" showRowStripes="1"/>
</table>
</file>

<file path=xl/tables/table16.xml><?xml version="1.0" encoding="utf-8"?>
<table xmlns="http://schemas.openxmlformats.org/spreadsheetml/2006/main" ref="A17:J25" displayName="Table6_2" name="Table6_2" id="16">
  <tableColumns count="10">
    <tableColumn name="Payload Size" id="1"/>
    <tableColumn name="Concurrency" id="2"/>
    <tableColumn name="TPU v6e d3439062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d3439062-style 2" showColumnStripes="0" showFirstColumn="1" showLastColumn="1" showRowStripes="1"/>
</table>
</file>

<file path=xl/tables/table17.xml><?xml version="1.0" encoding="utf-8"?>
<table xmlns="http://schemas.openxmlformats.org/spreadsheetml/2006/main" ref="A29:J37" displayName="Table7_2" name="Table7_2" id="17">
  <tableColumns count="10">
    <tableColumn name="Payload Size" id="1"/>
    <tableColumn name="Concurrency" id="2"/>
    <tableColumn name="TPU v6e d3439062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d3439062-style 3" showColumnStripes="0" showFirstColumn="1" showLastColumn="1" showRowStripes="1"/>
</table>
</file>

<file path=xl/tables/table18.xml><?xml version="1.0" encoding="utf-8"?>
<table xmlns="http://schemas.openxmlformats.org/spreadsheetml/2006/main" ref="A41:J49" displayName="ConcurrentRequests_p99_k6_2" name="ConcurrentRequests_p99_k6_2" id="18">
  <tableColumns count="10">
    <tableColumn name="Payload Size" id="1"/>
    <tableColumn name="Concurrency" id="2"/>
    <tableColumn name="TPU v6e d3439062 (ms)" id="3"/>
    <tableColumn name="TPU v5e (ms)" id="4"/>
    <tableColumn name="L4 GPU (ms)" id="5"/>
    <tableColumn name="Absolute Delta (v6e vs v5e)" id="6"/>
    <tableColumn name="% Reduction (v6e vs v5e)" id="7"/>
    <tableColumn name="Absolute Delta (v6e vs L4)" id="8"/>
    <tableColumn name="% Reduction (v6e vs L4)" id="9"/>
    <tableColumn name="Faster Setup" id="10"/>
  </tableColumns>
  <tableStyleInfo name="Comparison_d3439062-style 4" showColumnStripes="0" showFirstColumn="1" showLastColumn="1" showRowStripes="1"/>
</table>
</file>

<file path=xl/tables/table19.xml><?xml version="1.0" encoding="utf-8"?>
<table xmlns="http://schemas.openxmlformats.org/spreadsheetml/2006/main" ref="A53:G61" displayName="Table8_2" name="Table8_2" id="19">
  <tableColumns count="7">
    <tableColumn name="Payload" id="1"/>
    <tableColumn name="Setup" id="2"/>
    <tableColumn name="RPS" id="3"/>
    <tableColumn name="p50" id="4"/>
    <tableColumn name="p99" id="5"/>
    <tableColumn name="RPS Improvement (vs L4 GPU)" id="6"/>
    <tableColumn name="RPS Improvement (vs TPU v5e)" id="7"/>
  </tableColumns>
  <tableStyleInfo name="Comparison_d3439062-style 5" showColumnStripes="0" showFirstColumn="1" showLastColumn="1" showRowStripes="1"/>
</table>
</file>

<file path=xl/tables/table20.xml><?xml version="1.0" encoding="utf-8"?>
<table xmlns="http://schemas.openxmlformats.org/spreadsheetml/2006/main" totalsRowCount="1" ref="A65:G77" displayName="Table9_2" name="Table9_2" id="20">
  <tableColumns count="7">
    <tableColumn totalsRowLabel="Cost Improvement (v6e $2.70 vs v5e $1.22 @ 180/90 RPS — 530/350 RPS)" name="Machine Type" id="1"/>
    <tableColumn name="Machine Config" id="2"/>
    <tableColumn name="Hourly Cost" id="3"/>
    <tableColumn totalsRowFunction="custom" name="Cost per 1M request (1K Payload)" id="4"/>
    <tableColumn totalsRowFunction="custom" name="Cost per 1M request (2K Payload)" id="5"/>
    <tableColumn name="1K Max RPS" id="6"/>
    <tableColumn name="2K Max RPS" id="7"/>
  </tableColumns>
  <tableStyleInfo name="Comparison_d3439062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allavim1/tpu-inference/commit/b14044a4" TargetMode="External"/><Relationship Id="rId2" Type="http://schemas.openxmlformats.org/officeDocument/2006/relationships/hyperlink" Target="https://github.com/pallavim1/ai-infra-projects/commit/b14044a4" TargetMode="External"/><Relationship Id="rId3" Type="http://schemas.openxmlformats.org/officeDocument/2006/relationships/hyperlink" Target="https://github.com/pallavim1/tpu-inference/blob/panw-tpu-inference/models/JinaEmbedding/vLLM/megakernel/Zhemin_RPS_v6e_Opus_Megakernel_FP32_1024tok_2048tok.md" TargetMode="External"/><Relationship Id="rId4" Type="http://schemas.openxmlformats.org/officeDocument/2006/relationships/hyperlink" Target="https://github.com/pallavim1/tpu-inference/blob/panw-tpu-inference/models/JinaEmbedding/vLLM/megakernel/TPU_v6e_FP32_Megakernel_2K_Benchmark_Report.md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github.com/pallavim1/tpu-inference/blob/panw-tpu-inference/models/JinaEmbedding/vLLM/megakernel/ATP_AIC2_Benchmarks_TPU_v6e_FP32_Megakernel_vs_L4_and_Baselines.xlsx" TargetMode="External"/><Relationship Id="rId6" Type="http://schemas.openxmlformats.org/officeDocument/2006/relationships/hyperlink" Target="https://github.com/pallavim1/tpu-inference/blob/panw-tpu-inference/models/JinaEmbedding/vLLM/megakernel/TPU_v6e_FP32_Megakernel_Zhemin_Spreadsheet_Comparison.csv" TargetMode="External"/><Relationship Id="rId7" Type="http://schemas.openxmlformats.org/officeDocument/2006/relationships/hyperlink" Target="https://github.com/pallavim1/tpu-inference/blob/panw-tpu-inference/models/JinaEmbedding/vLLM/megakernel/cb460828_full_e2e_results.json" TargetMode="External"/><Relationship Id="rId8" Type="http://schemas.openxmlformats.org/officeDocument/2006/relationships/hyperlink" Target="https://github.com/pallavim1/tpu-inference/blob/panw-tpu-inference/models/JinaEmbedding/vLLM/megakernel/build_megakernel_excel.p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9" Type="http://schemas.openxmlformats.org/officeDocument/2006/relationships/table" Target="../tables/table16.xml"/><Relationship Id="rId8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0.43"/>
  </cols>
  <sheetData>
    <row r="2">
      <c r="A2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2" t="s">
        <v>4</v>
      </c>
    </row>
    <row r="7">
      <c r="A7" s="3" t="s">
        <v>5</v>
      </c>
    </row>
    <row r="8">
      <c r="A8" s="3" t="s">
        <v>6</v>
      </c>
    </row>
    <row r="9">
      <c r="A9" s="2" t="s">
        <v>7</v>
      </c>
    </row>
    <row r="10">
      <c r="A10" s="3" t="s">
        <v>8</v>
      </c>
    </row>
    <row r="11">
      <c r="A11" s="2" t="s">
        <v>9</v>
      </c>
    </row>
    <row r="12">
      <c r="A12" s="3" t="s">
        <v>10</v>
      </c>
    </row>
    <row r="13">
      <c r="A13" s="2" t="s">
        <v>13</v>
      </c>
    </row>
    <row r="14">
      <c r="A14" s="3" t="s">
        <v>15</v>
      </c>
    </row>
    <row r="15">
      <c r="A15" s="3" t="s">
        <v>18</v>
      </c>
    </row>
    <row r="17">
      <c r="A17" s="1" t="s">
        <v>20</v>
      </c>
    </row>
    <row r="18">
      <c r="A18" s="2" t="s">
        <v>21</v>
      </c>
    </row>
    <row r="19">
      <c r="A19" s="3" t="str">
        <f>HYPERLINK("https://github.com/pallavim1/tpu-inference/commit/d34390621876658cc7d6adc5b5fb5681eb105639", "pallavim1/tpu-inference@d3439062 (jina-v2-opus-megakernel)")</f>
        <v>pallavim1/tpu-inference@d3439062 (jina-v2-opus-megakernel)</v>
      </c>
    </row>
    <row r="20">
      <c r="A20" s="3" t="str">
        <f>HYPERLINK("https://github.com/pallavim1/tpu-inference/commit/a715f929", "pallavim1/tpu-inference@a715f929 (Benchmark Reports &amp; Sheets)")</f>
        <v>pallavim1/tpu-inference@a715f929 (Benchmark Reports &amp; Sheets)</v>
      </c>
    </row>
    <row r="21">
      <c r="A21" s="2" t="s">
        <v>46</v>
      </c>
    </row>
    <row r="22">
      <c r="A22" s="3" t="str">
        <f>HYPERLINK("https://github.com/pallavim1/tpu-inference/blob/panw-tpu-inference/models/JinaEmbedding/vLLM/megakernel/d3439062_Opus_Megakernel_Fused_Pooling_TPU_v6e_FP32_Benchmark_Report.md", "d3439062_Opus_Megakernel_Fused_Pooling_TPU_v6e_FP32_Benchmark_Report.md (GitHub)")</f>
        <v>d3439062_Opus_Megakernel_Fused_Pooling_TPU_v6e_FP32_Benchmark_Report.md (GitHub)</v>
      </c>
    </row>
    <row r="23">
      <c r="A23" s="3" t="str">
        <f>HYPERLINK("https://github.com/pallavim1/tpu-inference/blob/panw-tpu-inference/models/JinaEmbedding/vLLM/megakernel/Zhemin_RPS_v6e_Opus_Megakernel_FP32_1024tok_2048tok.md", "Zhemin_RPS_v6e_Opus_Megakernel_FP32_1024tok_2048tok.md (GitHub)")</f>
        <v>Zhemin_RPS_v6e_Opus_Megakernel_FP32_1024tok_2048tok.md (GitHub)</v>
      </c>
    </row>
    <row r="24">
      <c r="A24" s="2" t="s">
        <v>62</v>
      </c>
    </row>
    <row r="25">
      <c r="A25" s="3" t="str">
        <f>HYPERLINK("https://github.com/pallavim1/tpu-inference/blob/panw-tpu-inference/models/JinaEmbedding/vLLM/megakernel/ATP_AIC2_Benchmarks_TPU_v6e_FP32_Opus_Megakernel_vs_L4_and_Baselines.xlsx", "ATP_AIC2_Benchmarks_TPU_v6e_FP32_Opus_Megakernel_vs_L4_and_Baselines.xlsx (GitHub)")</f>
        <v>ATP_AIC2_Benchmarks_TPU_v6e_FP32_Opus_Megakernel_vs_L4_and_Baselines.xlsx (GitHub)</v>
      </c>
    </row>
    <row r="26">
      <c r="A26" s="2" t="s">
        <v>63</v>
      </c>
    </row>
    <row r="27">
      <c r="A27" s="3" t="str">
        <f>HYPERLINK("https://github.com/pallavim1/tpu-inference/blob/panw-tpu-inference/models/JinaEmbedding/vLLM/megakernel/TPU_v6e_Opus_Megakernel_d3439062_Zhemin_Comparison.csv", "TPU_v6e_Opus_Megakernel_d3439062_Zhemin_Comparison.csv (GitHub)")</f>
        <v>TPU_v6e_Opus_Megakernel_d3439062_Zhemin_Comparison.csv (GitHub)</v>
      </c>
    </row>
    <row r="28">
      <c r="A28" s="2" t="s">
        <v>64</v>
      </c>
    </row>
    <row r="29">
      <c r="A29" s="3" t="str">
        <f>HYPERLINK("https://github.com/pallavim1/tpu-inference/blob/panw-tpu-inference/models/JinaEmbedding/vLLM/megakernel/d3439062_full_eval_results.json", "d3439062_full_eval_results.json (GitHub)")</f>
        <v>d3439062_full_eval_results.json (GitHub)</v>
      </c>
    </row>
    <row r="30">
      <c r="A30" s="3" t="str">
        <f>HYPERLINK("https://github.com/pallavim1/tpu-inference/blob/panw-tpu-inference/models/JinaEmbedding/vLLM/megakernel/measure_jina_forward_d3439062.json", "measure_jina_forward_d3439062.json (GitHub)")</f>
        <v>measure_jina_forward_d3439062.json (GitHub)</v>
      </c>
    </row>
  </sheetData>
  <hyperlinks>
    <hyperlink r:id="rId1" ref="A4"/>
    <hyperlink r:id="rId2" ref="A5"/>
    <hyperlink r:id="rId3" ref="A7"/>
    <hyperlink r:id="rId4" ref="A8"/>
    <hyperlink r:id="rId5" ref="A10"/>
    <hyperlink r:id="rId6" ref="A12"/>
    <hyperlink r:id="rId7" ref="A14"/>
    <hyperlink r:id="rId8" ref="A15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15.14"/>
    <col customWidth="1" min="3" max="3" width="16.57"/>
    <col customWidth="1" min="4" max="4" width="13.71"/>
    <col customWidth="1" min="5" max="5" width="15.14"/>
    <col customWidth="1" min="6" max="6" width="16.57"/>
    <col customWidth="1" min="7" max="8" width="13.71"/>
    <col customWidth="1" min="9" max="9" width="16.57"/>
    <col customWidth="1" min="10" max="11" width="13.71"/>
  </cols>
  <sheetData>
    <row r="1">
      <c r="A1" s="5" t="s">
        <v>12</v>
      </c>
    </row>
    <row r="3">
      <c r="A3" s="6" t="s">
        <v>14</v>
      </c>
    </row>
    <row r="4">
      <c r="A4" s="6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ht="22.5" customHeight="1">
      <c r="A6" s="9" t="s">
        <v>19</v>
      </c>
      <c r="B6" s="9" t="s">
        <v>22</v>
      </c>
      <c r="C6" s="9" t="s">
        <v>25</v>
      </c>
      <c r="D6" s="9" t="s">
        <v>28</v>
      </c>
      <c r="E6" s="9" t="s">
        <v>32</v>
      </c>
      <c r="F6" s="9" t="s">
        <v>35</v>
      </c>
      <c r="G6" s="9" t="s">
        <v>37</v>
      </c>
      <c r="H6" s="9" t="s">
        <v>39</v>
      </c>
      <c r="I6" s="9" t="s">
        <v>40</v>
      </c>
      <c r="J6" s="9" t="s">
        <v>42</v>
      </c>
      <c r="K6" s="9" t="s">
        <v>43</v>
      </c>
    </row>
    <row r="7" ht="22.5" customHeight="1">
      <c r="A7" s="10" t="s">
        <v>41</v>
      </c>
      <c r="B7" s="12">
        <v>1.0</v>
      </c>
      <c r="C7" s="13" t="s">
        <v>44</v>
      </c>
      <c r="D7" s="13" t="s">
        <v>45</v>
      </c>
      <c r="E7" s="13" t="s">
        <v>49</v>
      </c>
      <c r="F7" s="13" t="s">
        <v>52</v>
      </c>
      <c r="G7" s="13" t="s">
        <v>47</v>
      </c>
      <c r="H7" s="13" t="s">
        <v>55</v>
      </c>
      <c r="I7" s="13" t="s">
        <v>57</v>
      </c>
      <c r="J7" s="13" t="s">
        <v>48</v>
      </c>
      <c r="K7" s="13" t="s">
        <v>61</v>
      </c>
    </row>
    <row r="8" ht="22.5" customHeight="1">
      <c r="A8" s="10" t="s">
        <v>41</v>
      </c>
      <c r="B8" s="12">
        <v>4.0</v>
      </c>
      <c r="C8" s="13" t="s">
        <v>66</v>
      </c>
      <c r="D8" s="13" t="s">
        <v>65</v>
      </c>
      <c r="E8" s="13" t="s">
        <v>72</v>
      </c>
      <c r="F8" s="13" t="s">
        <v>75</v>
      </c>
      <c r="G8" s="13" t="s">
        <v>67</v>
      </c>
      <c r="H8" s="13" t="s">
        <v>78</v>
      </c>
      <c r="I8" s="13" t="s">
        <v>79</v>
      </c>
      <c r="J8" s="13" t="s">
        <v>69</v>
      </c>
      <c r="K8" s="13" t="s">
        <v>80</v>
      </c>
    </row>
    <row r="9" ht="22.5" customHeight="1">
      <c r="A9" s="10" t="s">
        <v>41</v>
      </c>
      <c r="B9" s="12">
        <v>8.0</v>
      </c>
      <c r="C9" s="13" t="s">
        <v>84</v>
      </c>
      <c r="D9" s="13" t="s">
        <v>81</v>
      </c>
      <c r="E9" s="13" t="s">
        <v>90</v>
      </c>
      <c r="F9" s="13" t="s">
        <v>92</v>
      </c>
      <c r="G9" s="13" t="s">
        <v>82</v>
      </c>
      <c r="H9" s="13" t="s">
        <v>94</v>
      </c>
      <c r="I9" s="13" t="s">
        <v>95</v>
      </c>
      <c r="J9" s="13" t="s">
        <v>85</v>
      </c>
      <c r="K9" s="13" t="s">
        <v>96</v>
      </c>
    </row>
    <row r="10" ht="22.5" customHeight="1">
      <c r="A10" s="10" t="s">
        <v>41</v>
      </c>
      <c r="B10" s="12">
        <v>16.0</v>
      </c>
      <c r="C10" s="13" t="s">
        <v>105</v>
      </c>
      <c r="D10" s="13" t="s">
        <v>97</v>
      </c>
      <c r="E10" s="13" t="s">
        <v>108</v>
      </c>
      <c r="F10" s="13" t="s">
        <v>109</v>
      </c>
      <c r="G10" s="13" t="s">
        <v>98</v>
      </c>
      <c r="H10" s="13" t="s">
        <v>112</v>
      </c>
      <c r="I10" s="13" t="s">
        <v>114</v>
      </c>
      <c r="J10" s="13" t="s">
        <v>99</v>
      </c>
      <c r="K10" s="13" t="s">
        <v>118</v>
      </c>
    </row>
    <row r="11" ht="22.5" customHeight="1">
      <c r="A11" s="10" t="s">
        <v>110</v>
      </c>
      <c r="B11" s="12">
        <v>1.0</v>
      </c>
      <c r="C11" s="13" t="s">
        <v>123</v>
      </c>
      <c r="D11" s="13" t="s">
        <v>111</v>
      </c>
      <c r="E11" s="13" t="s">
        <v>128</v>
      </c>
      <c r="F11" s="13" t="s">
        <v>130</v>
      </c>
      <c r="G11" s="13" t="s">
        <v>113</v>
      </c>
      <c r="H11" s="13" t="s">
        <v>133</v>
      </c>
      <c r="I11" s="13" t="s">
        <v>135</v>
      </c>
      <c r="J11" s="13" t="s">
        <v>115</v>
      </c>
      <c r="K11" s="13" t="s">
        <v>136</v>
      </c>
    </row>
    <row r="12" ht="22.5" customHeight="1">
      <c r="A12" s="10" t="s">
        <v>110</v>
      </c>
      <c r="B12" s="12">
        <v>4.0</v>
      </c>
      <c r="C12" s="13" t="s">
        <v>144</v>
      </c>
      <c r="D12" s="13" t="s">
        <v>122</v>
      </c>
      <c r="E12" s="13" t="s">
        <v>148</v>
      </c>
      <c r="F12" s="13" t="s">
        <v>149</v>
      </c>
      <c r="G12" s="13" t="s">
        <v>125</v>
      </c>
      <c r="H12" s="13" t="s">
        <v>150</v>
      </c>
      <c r="I12" s="13" t="s">
        <v>151</v>
      </c>
      <c r="J12" s="13" t="s">
        <v>127</v>
      </c>
      <c r="K12" s="13" t="s">
        <v>152</v>
      </c>
    </row>
    <row r="13" ht="22.5" customHeight="1">
      <c r="A13" s="10" t="s">
        <v>110</v>
      </c>
      <c r="B13" s="12">
        <v>8.0</v>
      </c>
      <c r="C13" s="13" t="s">
        <v>163</v>
      </c>
      <c r="D13" s="13" t="s">
        <v>137</v>
      </c>
      <c r="E13" s="13" t="s">
        <v>165</v>
      </c>
      <c r="F13" s="13" t="s">
        <v>164</v>
      </c>
      <c r="G13" s="13" t="s">
        <v>138</v>
      </c>
      <c r="H13" s="13" t="s">
        <v>166</v>
      </c>
      <c r="I13" s="13" t="s">
        <v>167</v>
      </c>
      <c r="J13" s="13" t="s">
        <v>139</v>
      </c>
      <c r="K13" s="13" t="s">
        <v>153</v>
      </c>
    </row>
    <row r="14" ht="22.5" customHeight="1">
      <c r="A14" s="10" t="s">
        <v>110</v>
      </c>
      <c r="B14" s="12">
        <v>16.0</v>
      </c>
      <c r="C14" s="13" t="s">
        <v>172</v>
      </c>
      <c r="D14" s="13" t="s">
        <v>153</v>
      </c>
      <c r="E14" s="13" t="s">
        <v>174</v>
      </c>
      <c r="F14" s="13" t="s">
        <v>173</v>
      </c>
      <c r="G14" s="13" t="s">
        <v>154</v>
      </c>
      <c r="H14" s="13" t="s">
        <v>175</v>
      </c>
      <c r="I14" s="13" t="s">
        <v>176</v>
      </c>
      <c r="J14" s="13" t="s">
        <v>155</v>
      </c>
      <c r="K14" s="13" t="s">
        <v>177</v>
      </c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>
      <c r="A16" s="19" t="s">
        <v>178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ht="22.5" customHeight="1">
      <c r="A19" s="9" t="s">
        <v>19</v>
      </c>
      <c r="B19" s="9" t="s">
        <v>22</v>
      </c>
      <c r="C19" s="9" t="s">
        <v>25</v>
      </c>
      <c r="D19" s="9" t="s">
        <v>28</v>
      </c>
      <c r="E19" s="9" t="s">
        <v>32</v>
      </c>
      <c r="F19" s="9" t="s">
        <v>35</v>
      </c>
      <c r="G19" s="9" t="s">
        <v>37</v>
      </c>
      <c r="H19" s="9" t="s">
        <v>39</v>
      </c>
      <c r="I19" s="9" t="s">
        <v>40</v>
      </c>
      <c r="J19" s="9" t="s">
        <v>42</v>
      </c>
      <c r="K19" s="9" t="s">
        <v>43</v>
      </c>
    </row>
    <row r="20" ht="22.5" customHeight="1">
      <c r="A20" s="10" t="s">
        <v>41</v>
      </c>
      <c r="B20" s="12">
        <v>1.0</v>
      </c>
      <c r="C20" s="13" t="s">
        <v>192</v>
      </c>
      <c r="D20" s="13" t="s">
        <v>194</v>
      </c>
      <c r="E20" s="13" t="s">
        <v>195</v>
      </c>
      <c r="F20" s="13" t="s">
        <v>52</v>
      </c>
      <c r="G20" s="13" t="s">
        <v>47</v>
      </c>
      <c r="H20" s="13" t="s">
        <v>55</v>
      </c>
      <c r="I20" s="13" t="s">
        <v>57</v>
      </c>
      <c r="J20" s="13" t="s">
        <v>48</v>
      </c>
      <c r="K20" s="13" t="s">
        <v>61</v>
      </c>
    </row>
    <row r="21" ht="22.5" customHeight="1">
      <c r="A21" s="10" t="s">
        <v>41</v>
      </c>
      <c r="B21" s="12">
        <v>4.0</v>
      </c>
      <c r="C21" s="13" t="s">
        <v>205</v>
      </c>
      <c r="D21" s="13" t="s">
        <v>208</v>
      </c>
      <c r="E21" s="13" t="s">
        <v>209</v>
      </c>
      <c r="F21" s="13" t="s">
        <v>75</v>
      </c>
      <c r="G21" s="13" t="s">
        <v>67</v>
      </c>
      <c r="H21" s="13" t="s">
        <v>78</v>
      </c>
      <c r="I21" s="13" t="s">
        <v>79</v>
      </c>
      <c r="J21" s="13" t="s">
        <v>69</v>
      </c>
      <c r="K21" s="13" t="s">
        <v>80</v>
      </c>
    </row>
    <row r="22" ht="22.5" customHeight="1">
      <c r="A22" s="10" t="s">
        <v>41</v>
      </c>
      <c r="B22" s="12">
        <v>8.0</v>
      </c>
      <c r="C22" s="13" t="s">
        <v>216</v>
      </c>
      <c r="D22" s="13" t="s">
        <v>217</v>
      </c>
      <c r="E22" s="13" t="s">
        <v>218</v>
      </c>
      <c r="F22" s="13" t="s">
        <v>92</v>
      </c>
      <c r="G22" s="13" t="s">
        <v>82</v>
      </c>
      <c r="H22" s="13" t="s">
        <v>94</v>
      </c>
      <c r="I22" s="13" t="s">
        <v>95</v>
      </c>
      <c r="J22" s="13" t="s">
        <v>85</v>
      </c>
      <c r="K22" s="13" t="s">
        <v>96</v>
      </c>
    </row>
    <row r="23" ht="22.5" customHeight="1">
      <c r="A23" s="10" t="s">
        <v>41</v>
      </c>
      <c r="B23" s="12">
        <v>16.0</v>
      </c>
      <c r="C23" s="13" t="s">
        <v>228</v>
      </c>
      <c r="D23" s="13" t="s">
        <v>229</v>
      </c>
      <c r="E23" s="13" t="s">
        <v>231</v>
      </c>
      <c r="F23" s="13" t="s">
        <v>109</v>
      </c>
      <c r="G23" s="13" t="s">
        <v>98</v>
      </c>
      <c r="H23" s="13" t="s">
        <v>112</v>
      </c>
      <c r="I23" s="13" t="s">
        <v>114</v>
      </c>
      <c r="J23" s="13" t="s">
        <v>99</v>
      </c>
      <c r="K23" s="13" t="s">
        <v>118</v>
      </c>
    </row>
    <row r="24" ht="22.5" customHeight="1">
      <c r="A24" s="10" t="s">
        <v>110</v>
      </c>
      <c r="B24" s="12">
        <v>1.0</v>
      </c>
      <c r="C24" s="13" t="s">
        <v>240</v>
      </c>
      <c r="D24" s="13" t="s">
        <v>242</v>
      </c>
      <c r="E24" s="13" t="s">
        <v>245</v>
      </c>
      <c r="F24" s="13" t="s">
        <v>130</v>
      </c>
      <c r="G24" s="13" t="s">
        <v>113</v>
      </c>
      <c r="H24" s="13" t="s">
        <v>133</v>
      </c>
      <c r="I24" s="13" t="s">
        <v>135</v>
      </c>
      <c r="J24" s="13" t="s">
        <v>115</v>
      </c>
      <c r="K24" s="13" t="s">
        <v>136</v>
      </c>
    </row>
    <row r="25" ht="15.75" customHeight="1">
      <c r="A25" s="10" t="s">
        <v>110</v>
      </c>
      <c r="B25" s="12">
        <v>4.0</v>
      </c>
      <c r="C25" s="13" t="s">
        <v>250</v>
      </c>
      <c r="D25" s="13" t="s">
        <v>253</v>
      </c>
      <c r="E25" s="13" t="s">
        <v>256</v>
      </c>
      <c r="F25" s="13" t="s">
        <v>149</v>
      </c>
      <c r="G25" s="13" t="s">
        <v>125</v>
      </c>
      <c r="H25" s="13" t="s">
        <v>150</v>
      </c>
      <c r="I25" s="13" t="s">
        <v>151</v>
      </c>
      <c r="J25" s="13" t="s">
        <v>127</v>
      </c>
      <c r="K25" s="13" t="s">
        <v>152</v>
      </c>
    </row>
    <row r="26" ht="15.75" customHeight="1">
      <c r="A26" s="10" t="s">
        <v>110</v>
      </c>
      <c r="B26" s="12">
        <v>8.0</v>
      </c>
      <c r="C26" s="13" t="s">
        <v>268</v>
      </c>
      <c r="D26" s="13" t="s">
        <v>270</v>
      </c>
      <c r="E26" s="13" t="s">
        <v>273</v>
      </c>
      <c r="F26" s="13" t="s">
        <v>164</v>
      </c>
      <c r="G26" s="13" t="s">
        <v>138</v>
      </c>
      <c r="H26" s="13" t="s">
        <v>166</v>
      </c>
      <c r="I26" s="13" t="s">
        <v>167</v>
      </c>
      <c r="J26" s="13" t="s">
        <v>139</v>
      </c>
      <c r="K26" s="13" t="s">
        <v>153</v>
      </c>
    </row>
    <row r="27" ht="15.75" customHeight="1">
      <c r="A27" s="10" t="s">
        <v>110</v>
      </c>
      <c r="B27" s="12">
        <v>16.0</v>
      </c>
      <c r="C27" s="13" t="s">
        <v>284</v>
      </c>
      <c r="D27" s="13" t="s">
        <v>285</v>
      </c>
      <c r="E27" s="13" t="s">
        <v>286</v>
      </c>
      <c r="F27" s="13" t="s">
        <v>173</v>
      </c>
      <c r="G27" s="13" t="s">
        <v>154</v>
      </c>
      <c r="H27" s="13" t="s">
        <v>175</v>
      </c>
      <c r="I27" s="13" t="s">
        <v>176</v>
      </c>
      <c r="J27" s="13" t="s">
        <v>155</v>
      </c>
      <c r="K27" s="13" t="s">
        <v>177</v>
      </c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>
      <c r="A29" s="17" t="s">
        <v>292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6"/>
      <c r="K31" s="16"/>
    </row>
    <row r="32" ht="15.75" customHeight="1">
      <c r="A32" s="9" t="s">
        <v>298</v>
      </c>
      <c r="B32" s="9" t="s">
        <v>304</v>
      </c>
      <c r="C32" s="9" t="s">
        <v>306</v>
      </c>
      <c r="D32" s="9" t="s">
        <v>309</v>
      </c>
      <c r="E32" s="9" t="s">
        <v>311</v>
      </c>
      <c r="F32" s="9" t="s">
        <v>305</v>
      </c>
      <c r="G32" s="9" t="s">
        <v>307</v>
      </c>
      <c r="H32" s="9" t="s">
        <v>308</v>
      </c>
      <c r="I32" s="9" t="s">
        <v>310</v>
      </c>
      <c r="J32" s="16"/>
      <c r="K32" s="16"/>
    </row>
    <row r="33" ht="15.75" customHeight="1">
      <c r="A33" s="12">
        <v>100.0</v>
      </c>
      <c r="B33" s="13" t="s">
        <v>321</v>
      </c>
      <c r="C33" s="13" t="s">
        <v>323</v>
      </c>
      <c r="D33" s="13" t="s">
        <v>326</v>
      </c>
      <c r="E33" s="10" t="s">
        <v>320</v>
      </c>
      <c r="F33" s="13" t="s">
        <v>328</v>
      </c>
      <c r="G33" s="13" t="s">
        <v>325</v>
      </c>
      <c r="H33" s="13" t="s">
        <v>327</v>
      </c>
      <c r="I33" s="10" t="s">
        <v>320</v>
      </c>
      <c r="J33" s="16"/>
      <c r="K33" s="16"/>
    </row>
    <row r="34" ht="15.75" customHeight="1">
      <c r="A34" s="12">
        <v>120.0</v>
      </c>
      <c r="B34" s="13" t="s">
        <v>338</v>
      </c>
      <c r="C34" s="13" t="s">
        <v>339</v>
      </c>
      <c r="D34" s="13" t="s">
        <v>340</v>
      </c>
      <c r="E34" s="10" t="s">
        <v>320</v>
      </c>
      <c r="F34" s="13" t="s">
        <v>342</v>
      </c>
      <c r="G34" s="13" t="s">
        <v>341</v>
      </c>
      <c r="H34" s="13" t="s">
        <v>343</v>
      </c>
      <c r="I34" s="10" t="s">
        <v>320</v>
      </c>
      <c r="J34" s="16"/>
      <c r="K34" s="16"/>
    </row>
    <row r="35" ht="15.75" customHeight="1">
      <c r="A35" s="12">
        <v>140.0</v>
      </c>
      <c r="B35" s="13" t="s">
        <v>348</v>
      </c>
      <c r="C35" s="13" t="s">
        <v>349</v>
      </c>
      <c r="D35" s="13" t="s">
        <v>350</v>
      </c>
      <c r="E35" s="10" t="s">
        <v>320</v>
      </c>
      <c r="F35" s="13" t="s">
        <v>352</v>
      </c>
      <c r="G35" s="13" t="s">
        <v>351</v>
      </c>
      <c r="H35" s="13" t="s">
        <v>353</v>
      </c>
      <c r="I35" s="10" t="s">
        <v>320</v>
      </c>
      <c r="J35" s="16"/>
      <c r="K35" s="16"/>
    </row>
    <row r="36" ht="15.75" customHeight="1">
      <c r="A36" s="12">
        <v>160.0</v>
      </c>
      <c r="B36" s="13" t="s">
        <v>363</v>
      </c>
      <c r="C36" s="13" t="s">
        <v>364</v>
      </c>
      <c r="D36" s="13" t="s">
        <v>365</v>
      </c>
      <c r="E36" s="10" t="s">
        <v>320</v>
      </c>
      <c r="F36" s="13" t="s">
        <v>367</v>
      </c>
      <c r="G36" s="13" t="s">
        <v>366</v>
      </c>
      <c r="H36" s="13" t="s">
        <v>369</v>
      </c>
      <c r="I36" s="10" t="s">
        <v>320</v>
      </c>
      <c r="J36" s="16"/>
      <c r="K36" s="16"/>
    </row>
    <row r="37" ht="15.75" customHeight="1">
      <c r="A37" s="12">
        <v>180.0</v>
      </c>
      <c r="B37" s="13" t="s">
        <v>380</v>
      </c>
      <c r="C37" s="13" t="s">
        <v>381</v>
      </c>
      <c r="D37" s="13" t="s">
        <v>382</v>
      </c>
      <c r="E37" s="10" t="s">
        <v>320</v>
      </c>
      <c r="F37" s="13" t="s">
        <v>387</v>
      </c>
      <c r="G37" s="13" t="s">
        <v>385</v>
      </c>
      <c r="H37" s="13" t="s">
        <v>388</v>
      </c>
      <c r="I37" s="10" t="s">
        <v>320</v>
      </c>
      <c r="J37" s="16"/>
      <c r="K37" s="16"/>
    </row>
    <row r="38" ht="15.75" customHeight="1">
      <c r="A38" s="12">
        <v>190.0</v>
      </c>
      <c r="B38" s="13" t="s">
        <v>397</v>
      </c>
      <c r="C38" s="13" t="s">
        <v>399</v>
      </c>
      <c r="D38" s="13" t="s">
        <v>382</v>
      </c>
      <c r="E38" s="10" t="s">
        <v>320</v>
      </c>
      <c r="F38" s="13" t="s">
        <v>404</v>
      </c>
      <c r="G38" s="13" t="s">
        <v>403</v>
      </c>
      <c r="H38" s="13" t="s">
        <v>406</v>
      </c>
      <c r="I38" s="10" t="s">
        <v>408</v>
      </c>
      <c r="J38" s="16"/>
      <c r="K38" s="16"/>
    </row>
    <row r="39" ht="15.75" customHeight="1">
      <c r="A39" s="12">
        <v>200.0</v>
      </c>
      <c r="B39" s="13" t="s">
        <v>421</v>
      </c>
      <c r="C39" s="13" t="s">
        <v>424</v>
      </c>
      <c r="D39" s="13" t="s">
        <v>382</v>
      </c>
      <c r="E39" s="10" t="s">
        <v>320</v>
      </c>
      <c r="F39" s="13" t="s">
        <v>430</v>
      </c>
      <c r="G39" s="13" t="s">
        <v>426</v>
      </c>
      <c r="H39" s="13" t="s">
        <v>429</v>
      </c>
      <c r="I39" s="10" t="s">
        <v>408</v>
      </c>
      <c r="J39" s="16"/>
      <c r="K39" s="16"/>
    </row>
    <row r="40" ht="15.75" customHeight="1">
      <c r="A40" s="12">
        <v>220.0</v>
      </c>
      <c r="B40" s="13" t="s">
        <v>447</v>
      </c>
      <c r="C40" s="13" t="s">
        <v>340</v>
      </c>
      <c r="D40" s="13" t="s">
        <v>452</v>
      </c>
      <c r="E40" s="10" t="s">
        <v>320</v>
      </c>
      <c r="F40" s="13" t="s">
        <v>456</v>
      </c>
      <c r="G40" s="13" t="s">
        <v>451</v>
      </c>
      <c r="H40" s="13" t="s">
        <v>454</v>
      </c>
      <c r="I40" s="10" t="s">
        <v>408</v>
      </c>
      <c r="J40" s="16"/>
      <c r="K40" s="16"/>
    </row>
    <row r="41" ht="15.75" customHeight="1">
      <c r="A41" s="12">
        <v>240.0</v>
      </c>
      <c r="B41" s="13" t="s">
        <v>465</v>
      </c>
      <c r="C41" s="13" t="s">
        <v>468</v>
      </c>
      <c r="D41" s="13" t="s">
        <v>470</v>
      </c>
      <c r="E41" s="10" t="s">
        <v>320</v>
      </c>
      <c r="F41" s="13" t="s">
        <v>317</v>
      </c>
      <c r="G41" s="13" t="s">
        <v>317</v>
      </c>
      <c r="H41" s="13" t="s">
        <v>317</v>
      </c>
      <c r="I41" s="10" t="s">
        <v>471</v>
      </c>
      <c r="J41" s="16"/>
      <c r="K41" s="16"/>
    </row>
    <row r="42" ht="15.75" customHeight="1">
      <c r="A42" s="12">
        <v>260.0</v>
      </c>
      <c r="B42" s="13" t="s">
        <v>489</v>
      </c>
      <c r="C42" s="13" t="s">
        <v>491</v>
      </c>
      <c r="D42" s="13" t="s">
        <v>493</v>
      </c>
      <c r="E42" s="10" t="s">
        <v>320</v>
      </c>
      <c r="F42" s="13" t="s">
        <v>317</v>
      </c>
      <c r="G42" s="13" t="s">
        <v>317</v>
      </c>
      <c r="H42" s="13" t="s">
        <v>317</v>
      </c>
      <c r="I42" s="10" t="s">
        <v>471</v>
      </c>
      <c r="J42" s="16"/>
      <c r="K42" s="16"/>
    </row>
    <row r="43" ht="15.75" customHeight="1">
      <c r="A43" s="12">
        <v>280.0</v>
      </c>
      <c r="B43" s="13" t="s">
        <v>495</v>
      </c>
      <c r="C43" s="13" t="s">
        <v>491</v>
      </c>
      <c r="D43" s="13" t="s">
        <v>496</v>
      </c>
      <c r="E43" s="10" t="s">
        <v>320</v>
      </c>
      <c r="F43" s="13" t="s">
        <v>317</v>
      </c>
      <c r="G43" s="13" t="s">
        <v>317</v>
      </c>
      <c r="H43" s="13" t="s">
        <v>317</v>
      </c>
      <c r="I43" s="10" t="s">
        <v>471</v>
      </c>
      <c r="J43" s="16"/>
      <c r="K43" s="16"/>
    </row>
    <row r="44" ht="15.75" customHeight="1">
      <c r="A44" s="12">
        <v>300.0</v>
      </c>
      <c r="B44" s="13" t="s">
        <v>503</v>
      </c>
      <c r="C44" s="13" t="s">
        <v>491</v>
      </c>
      <c r="D44" s="13" t="s">
        <v>504</v>
      </c>
      <c r="E44" s="10" t="s">
        <v>320</v>
      </c>
      <c r="F44" s="13" t="s">
        <v>317</v>
      </c>
      <c r="G44" s="13" t="s">
        <v>317</v>
      </c>
      <c r="H44" s="13" t="s">
        <v>317</v>
      </c>
      <c r="I44" s="10" t="s">
        <v>471</v>
      </c>
      <c r="J44" s="16"/>
      <c r="K44" s="16"/>
    </row>
    <row r="45" ht="15.75" customHeight="1">
      <c r="A45" s="12">
        <v>320.0</v>
      </c>
      <c r="B45" s="13" t="s">
        <v>511</v>
      </c>
      <c r="C45" s="13" t="s">
        <v>512</v>
      </c>
      <c r="D45" s="13" t="s">
        <v>513</v>
      </c>
      <c r="E45" s="10" t="s">
        <v>320</v>
      </c>
      <c r="F45" s="13" t="s">
        <v>317</v>
      </c>
      <c r="G45" s="13" t="s">
        <v>317</v>
      </c>
      <c r="H45" s="13" t="s">
        <v>317</v>
      </c>
      <c r="I45" s="10" t="s">
        <v>471</v>
      </c>
      <c r="J45" s="16"/>
      <c r="K45" s="16"/>
    </row>
    <row r="46" ht="15.75" customHeight="1">
      <c r="A46" s="12">
        <v>340.0</v>
      </c>
      <c r="B46" s="13" t="s">
        <v>522</v>
      </c>
      <c r="C46" s="13" t="s">
        <v>524</v>
      </c>
      <c r="D46" s="13" t="s">
        <v>525</v>
      </c>
      <c r="E46" s="10" t="s">
        <v>320</v>
      </c>
      <c r="F46" s="13" t="s">
        <v>317</v>
      </c>
      <c r="G46" s="13" t="s">
        <v>317</v>
      </c>
      <c r="H46" s="13" t="s">
        <v>317</v>
      </c>
      <c r="I46" s="10" t="s">
        <v>471</v>
      </c>
      <c r="J46" s="16"/>
      <c r="K46" s="16"/>
    </row>
    <row r="47" ht="15.75" customHeight="1">
      <c r="A47" s="12">
        <v>360.0</v>
      </c>
      <c r="B47" s="13" t="s">
        <v>532</v>
      </c>
      <c r="C47" s="13" t="s">
        <v>533</v>
      </c>
      <c r="D47" s="13" t="s">
        <v>534</v>
      </c>
      <c r="E47" s="10" t="s">
        <v>320</v>
      </c>
      <c r="F47" s="13" t="s">
        <v>317</v>
      </c>
      <c r="G47" s="13" t="s">
        <v>317</v>
      </c>
      <c r="H47" s="13" t="s">
        <v>317</v>
      </c>
      <c r="I47" s="10" t="s">
        <v>471</v>
      </c>
      <c r="J47" s="16"/>
      <c r="K47" s="16"/>
    </row>
    <row r="48" ht="15.75" customHeight="1">
      <c r="A48" s="12">
        <v>380.0</v>
      </c>
      <c r="B48" s="13" t="s">
        <v>539</v>
      </c>
      <c r="C48" s="13" t="s">
        <v>470</v>
      </c>
      <c r="D48" s="13" t="s">
        <v>540</v>
      </c>
      <c r="E48" s="10" t="s">
        <v>320</v>
      </c>
      <c r="F48" s="13" t="s">
        <v>317</v>
      </c>
      <c r="G48" s="13" t="s">
        <v>317</v>
      </c>
      <c r="H48" s="13" t="s">
        <v>317</v>
      </c>
      <c r="I48" s="10" t="s">
        <v>471</v>
      </c>
      <c r="J48" s="16"/>
      <c r="K48" s="16"/>
    </row>
    <row r="49" ht="15.75" customHeight="1">
      <c r="A49" s="12">
        <v>400.0</v>
      </c>
      <c r="B49" s="13" t="s">
        <v>546</v>
      </c>
      <c r="C49" s="13" t="s">
        <v>547</v>
      </c>
      <c r="D49" s="13" t="s">
        <v>549</v>
      </c>
      <c r="E49" s="10" t="s">
        <v>320</v>
      </c>
      <c r="F49" s="13" t="s">
        <v>317</v>
      </c>
      <c r="G49" s="13" t="s">
        <v>317</v>
      </c>
      <c r="H49" s="13" t="s">
        <v>317</v>
      </c>
      <c r="I49" s="10" t="s">
        <v>471</v>
      </c>
      <c r="J49" s="16"/>
      <c r="K49" s="16"/>
    </row>
    <row r="50" ht="15.75" customHeight="1">
      <c r="A50" s="12">
        <v>420.0</v>
      </c>
      <c r="B50" s="13" t="s">
        <v>551</v>
      </c>
      <c r="C50" s="13" t="s">
        <v>552</v>
      </c>
      <c r="D50" s="13" t="s">
        <v>553</v>
      </c>
      <c r="E50" s="10" t="s">
        <v>320</v>
      </c>
      <c r="F50" s="13" t="s">
        <v>317</v>
      </c>
      <c r="G50" s="13" t="s">
        <v>317</v>
      </c>
      <c r="H50" s="13" t="s">
        <v>317</v>
      </c>
      <c r="I50" s="10" t="s">
        <v>471</v>
      </c>
      <c r="J50" s="16"/>
      <c r="K50" s="16"/>
    </row>
    <row r="51" ht="15.75" customHeight="1">
      <c r="A51" s="12">
        <v>440.0</v>
      </c>
      <c r="B51" s="13" t="s">
        <v>562</v>
      </c>
      <c r="C51" s="13" t="s">
        <v>563</v>
      </c>
      <c r="D51" s="13" t="s">
        <v>564</v>
      </c>
      <c r="E51" s="10" t="s">
        <v>320</v>
      </c>
      <c r="F51" s="13" t="s">
        <v>317</v>
      </c>
      <c r="G51" s="13" t="s">
        <v>317</v>
      </c>
      <c r="H51" s="13" t="s">
        <v>317</v>
      </c>
      <c r="I51" s="10" t="s">
        <v>471</v>
      </c>
      <c r="J51" s="16"/>
      <c r="K51" s="16"/>
    </row>
    <row r="52" ht="15.75" customHeight="1">
      <c r="A52" s="12">
        <v>460.0</v>
      </c>
      <c r="B52" s="13" t="s">
        <v>568</v>
      </c>
      <c r="C52" s="13" t="s">
        <v>325</v>
      </c>
      <c r="D52" s="13" t="s">
        <v>571</v>
      </c>
      <c r="E52" s="10" t="s">
        <v>320</v>
      </c>
      <c r="F52" s="13" t="s">
        <v>317</v>
      </c>
      <c r="G52" s="13" t="s">
        <v>317</v>
      </c>
      <c r="H52" s="13" t="s">
        <v>317</v>
      </c>
      <c r="I52" s="10" t="s">
        <v>471</v>
      </c>
      <c r="J52" s="16"/>
      <c r="K52" s="16"/>
    </row>
    <row r="53" ht="15.75" customHeight="1">
      <c r="A53" s="12">
        <v>480.0</v>
      </c>
      <c r="B53" s="13" t="s">
        <v>578</v>
      </c>
      <c r="C53" s="13" t="s">
        <v>580</v>
      </c>
      <c r="D53" s="13" t="s">
        <v>581</v>
      </c>
      <c r="E53" s="10" t="s">
        <v>320</v>
      </c>
      <c r="F53" s="13" t="s">
        <v>317</v>
      </c>
      <c r="G53" s="13" t="s">
        <v>317</v>
      </c>
      <c r="H53" s="13" t="s">
        <v>317</v>
      </c>
      <c r="I53" s="10" t="s">
        <v>471</v>
      </c>
      <c r="J53" s="16"/>
      <c r="K53" s="16"/>
    </row>
    <row r="54" ht="15.75" customHeight="1">
      <c r="A54" s="12">
        <v>490.0</v>
      </c>
      <c r="B54" s="13" t="s">
        <v>585</v>
      </c>
      <c r="C54" s="13" t="s">
        <v>586</v>
      </c>
      <c r="D54" s="13" t="s">
        <v>588</v>
      </c>
      <c r="E54" s="10" t="s">
        <v>320</v>
      </c>
      <c r="F54" s="13" t="s">
        <v>317</v>
      </c>
      <c r="G54" s="13" t="s">
        <v>317</v>
      </c>
      <c r="H54" s="13" t="s">
        <v>317</v>
      </c>
      <c r="I54" s="10" t="s">
        <v>471</v>
      </c>
      <c r="J54" s="16"/>
      <c r="K54" s="16"/>
    </row>
    <row r="55" ht="15.75" customHeight="1">
      <c r="A55" s="12">
        <v>500.0</v>
      </c>
      <c r="B55" s="13" t="s">
        <v>593</v>
      </c>
      <c r="C55" s="13" t="s">
        <v>594</v>
      </c>
      <c r="D55" s="13" t="s">
        <v>595</v>
      </c>
      <c r="E55" s="10" t="s">
        <v>408</v>
      </c>
      <c r="F55" s="13" t="s">
        <v>317</v>
      </c>
      <c r="G55" s="13" t="s">
        <v>317</v>
      </c>
      <c r="H55" s="13" t="s">
        <v>317</v>
      </c>
      <c r="I55" s="10" t="s">
        <v>471</v>
      </c>
      <c r="J55" s="16"/>
      <c r="K55" s="16"/>
    </row>
    <row r="56" ht="15.75" customHeight="1">
      <c r="A56" s="12">
        <v>510.0</v>
      </c>
      <c r="B56" s="13" t="s">
        <v>598</v>
      </c>
      <c r="C56" s="13" t="s">
        <v>600</v>
      </c>
      <c r="D56" s="13" t="s">
        <v>601</v>
      </c>
      <c r="E56" s="10" t="s">
        <v>408</v>
      </c>
      <c r="F56" s="13" t="s">
        <v>317</v>
      </c>
      <c r="G56" s="13" t="s">
        <v>317</v>
      </c>
      <c r="H56" s="13" t="s">
        <v>317</v>
      </c>
      <c r="I56" s="10" t="s">
        <v>471</v>
      </c>
      <c r="J56" s="16"/>
      <c r="K56" s="16"/>
    </row>
    <row r="57" ht="15.75" customHeight="1">
      <c r="A57" s="12">
        <v>520.0</v>
      </c>
      <c r="B57" s="13" t="s">
        <v>615</v>
      </c>
      <c r="C57" s="13" t="s">
        <v>616</v>
      </c>
      <c r="D57" s="13" t="s">
        <v>617</v>
      </c>
      <c r="E57" s="10" t="s">
        <v>408</v>
      </c>
      <c r="F57" s="13" t="s">
        <v>317</v>
      </c>
      <c r="G57" s="13" t="s">
        <v>317</v>
      </c>
      <c r="H57" s="13" t="s">
        <v>317</v>
      </c>
      <c r="I57" s="10" t="s">
        <v>471</v>
      </c>
      <c r="J57" s="16"/>
      <c r="K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17" t="s">
        <v>620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6"/>
      <c r="K60" s="16"/>
    </row>
    <row r="61" ht="15.75" customHeight="1">
      <c r="A61" s="9" t="s">
        <v>298</v>
      </c>
      <c r="B61" s="9" t="s">
        <v>304</v>
      </c>
      <c r="C61" s="9" t="s">
        <v>306</v>
      </c>
      <c r="D61" s="9" t="s">
        <v>309</v>
      </c>
      <c r="E61" s="9" t="s">
        <v>311</v>
      </c>
      <c r="F61" s="9" t="s">
        <v>305</v>
      </c>
      <c r="G61" s="9" t="s">
        <v>307</v>
      </c>
      <c r="H61" s="9" t="s">
        <v>308</v>
      </c>
      <c r="I61" s="9" t="s">
        <v>310</v>
      </c>
      <c r="J61" s="16"/>
      <c r="K61" s="16"/>
    </row>
    <row r="62" ht="15.75" customHeight="1">
      <c r="A62" s="12">
        <v>90.0</v>
      </c>
      <c r="B62" s="13" t="s">
        <v>631</v>
      </c>
      <c r="C62" s="13" t="s">
        <v>632</v>
      </c>
      <c r="D62" s="13" t="s">
        <v>633</v>
      </c>
      <c r="E62" s="10" t="s">
        <v>320</v>
      </c>
      <c r="F62" s="10" t="s">
        <v>634</v>
      </c>
      <c r="G62" s="10" t="s">
        <v>635</v>
      </c>
      <c r="H62" s="10" t="s">
        <v>636</v>
      </c>
      <c r="I62" s="10" t="s">
        <v>320</v>
      </c>
      <c r="J62" s="16"/>
      <c r="K62" s="16"/>
    </row>
    <row r="63" ht="15.75" customHeight="1">
      <c r="A63" s="12">
        <v>95.0</v>
      </c>
      <c r="B63" s="13" t="s">
        <v>638</v>
      </c>
      <c r="C63" s="13" t="s">
        <v>524</v>
      </c>
      <c r="D63" s="13" t="s">
        <v>639</v>
      </c>
      <c r="E63" s="10" t="s">
        <v>320</v>
      </c>
      <c r="F63" s="10" t="s">
        <v>640</v>
      </c>
      <c r="G63" s="10" t="s">
        <v>641</v>
      </c>
      <c r="H63" s="10" t="s">
        <v>642</v>
      </c>
      <c r="I63" s="10" t="s">
        <v>408</v>
      </c>
      <c r="J63" s="16"/>
      <c r="K63" s="16"/>
    </row>
    <row r="64" ht="15.75" customHeight="1">
      <c r="A64" s="12">
        <v>100.0</v>
      </c>
      <c r="B64" s="13" t="s">
        <v>321</v>
      </c>
      <c r="C64" s="13" t="s">
        <v>632</v>
      </c>
      <c r="D64" s="13" t="s">
        <v>633</v>
      </c>
      <c r="E64" s="10" t="s">
        <v>320</v>
      </c>
      <c r="F64" s="10" t="s">
        <v>643</v>
      </c>
      <c r="G64" s="10" t="s">
        <v>644</v>
      </c>
      <c r="H64" s="10" t="s">
        <v>645</v>
      </c>
      <c r="I64" s="10" t="s">
        <v>408</v>
      </c>
      <c r="J64" s="16"/>
      <c r="K64" s="16"/>
    </row>
    <row r="65" ht="15.75" customHeight="1">
      <c r="A65" s="12">
        <v>110.0</v>
      </c>
      <c r="B65" s="13" t="s">
        <v>648</v>
      </c>
      <c r="C65" s="13" t="s">
        <v>632</v>
      </c>
      <c r="D65" s="13" t="s">
        <v>649</v>
      </c>
      <c r="E65" s="10" t="s">
        <v>320</v>
      </c>
      <c r="F65" s="10" t="s">
        <v>650</v>
      </c>
      <c r="G65" s="10" t="s">
        <v>651</v>
      </c>
      <c r="H65" s="10" t="s">
        <v>652</v>
      </c>
      <c r="I65" s="10" t="s">
        <v>408</v>
      </c>
      <c r="J65" s="16"/>
      <c r="K65" s="16"/>
    </row>
    <row r="66" ht="15.75" customHeight="1">
      <c r="A66" s="12">
        <v>120.0</v>
      </c>
      <c r="B66" s="13" t="s">
        <v>338</v>
      </c>
      <c r="C66" s="13" t="s">
        <v>632</v>
      </c>
      <c r="D66" s="13" t="s">
        <v>655</v>
      </c>
      <c r="E66" s="10" t="s">
        <v>320</v>
      </c>
      <c r="F66" s="10" t="s">
        <v>317</v>
      </c>
      <c r="G66" s="10" t="s">
        <v>317</v>
      </c>
      <c r="H66" s="10" t="s">
        <v>317</v>
      </c>
      <c r="I66" s="10" t="s">
        <v>656</v>
      </c>
      <c r="J66" s="16"/>
      <c r="K66" s="16"/>
    </row>
    <row r="67" ht="15.75" customHeight="1">
      <c r="A67" s="12">
        <v>130.0</v>
      </c>
      <c r="B67" s="13" t="s">
        <v>659</v>
      </c>
      <c r="C67" s="13" t="s">
        <v>660</v>
      </c>
      <c r="D67" s="13" t="s">
        <v>341</v>
      </c>
      <c r="E67" s="10" t="s">
        <v>320</v>
      </c>
      <c r="F67" s="10" t="s">
        <v>317</v>
      </c>
      <c r="G67" s="10" t="s">
        <v>317</v>
      </c>
      <c r="H67" s="10" t="s">
        <v>317</v>
      </c>
      <c r="I67" s="10" t="s">
        <v>656</v>
      </c>
      <c r="J67" s="16"/>
      <c r="K67" s="16"/>
    </row>
    <row r="68" ht="15.75" customHeight="1">
      <c r="A68" s="12">
        <v>140.0</v>
      </c>
      <c r="B68" s="13" t="s">
        <v>348</v>
      </c>
      <c r="C68" s="13" t="s">
        <v>533</v>
      </c>
      <c r="D68" s="13" t="s">
        <v>662</v>
      </c>
      <c r="E68" s="10" t="s">
        <v>320</v>
      </c>
      <c r="F68" s="10" t="s">
        <v>317</v>
      </c>
      <c r="G68" s="10" t="s">
        <v>317</v>
      </c>
      <c r="H68" s="10" t="s">
        <v>317</v>
      </c>
      <c r="I68" s="10" t="s">
        <v>656</v>
      </c>
      <c r="J68" s="16"/>
      <c r="K68" s="16"/>
    </row>
    <row r="69" ht="15.75" customHeight="1">
      <c r="A69" s="12">
        <v>150.0</v>
      </c>
      <c r="B69" s="13" t="s">
        <v>663</v>
      </c>
      <c r="C69" s="13" t="s">
        <v>452</v>
      </c>
      <c r="D69" s="13" t="s">
        <v>664</v>
      </c>
      <c r="E69" s="10" t="s">
        <v>320</v>
      </c>
      <c r="F69" s="10" t="s">
        <v>317</v>
      </c>
      <c r="G69" s="10" t="s">
        <v>317</v>
      </c>
      <c r="H69" s="10" t="s">
        <v>317</v>
      </c>
      <c r="I69" s="10" t="s">
        <v>656</v>
      </c>
      <c r="J69" s="16"/>
      <c r="K69" s="16"/>
    </row>
    <row r="70" ht="15.75" customHeight="1">
      <c r="A70" s="12">
        <v>160.0</v>
      </c>
      <c r="B70" s="13" t="s">
        <v>665</v>
      </c>
      <c r="C70" s="13" t="s">
        <v>666</v>
      </c>
      <c r="D70" s="13" t="s">
        <v>667</v>
      </c>
      <c r="E70" s="10" t="s">
        <v>320</v>
      </c>
      <c r="F70" s="10" t="s">
        <v>317</v>
      </c>
      <c r="G70" s="10" t="s">
        <v>317</v>
      </c>
      <c r="H70" s="10" t="s">
        <v>317</v>
      </c>
      <c r="I70" s="10" t="s">
        <v>656</v>
      </c>
      <c r="J70" s="16"/>
      <c r="K70" s="16"/>
    </row>
    <row r="71" ht="15.75" customHeight="1">
      <c r="A71" s="12">
        <v>170.0</v>
      </c>
      <c r="B71" s="13" t="s">
        <v>668</v>
      </c>
      <c r="C71" s="13" t="s">
        <v>496</v>
      </c>
      <c r="D71" s="13" t="s">
        <v>587</v>
      </c>
      <c r="E71" s="10" t="s">
        <v>320</v>
      </c>
      <c r="F71" s="10" t="s">
        <v>317</v>
      </c>
      <c r="G71" s="10" t="s">
        <v>317</v>
      </c>
      <c r="H71" s="10" t="s">
        <v>317</v>
      </c>
      <c r="I71" s="10" t="s">
        <v>656</v>
      </c>
      <c r="J71" s="16"/>
      <c r="K71" s="16"/>
    </row>
    <row r="72" ht="15.75" customHeight="1">
      <c r="A72" s="12">
        <v>180.0</v>
      </c>
      <c r="B72" s="13" t="s">
        <v>669</v>
      </c>
      <c r="C72" s="13" t="s">
        <v>670</v>
      </c>
      <c r="D72" s="13" t="s">
        <v>671</v>
      </c>
      <c r="E72" s="10" t="s">
        <v>320</v>
      </c>
      <c r="F72" s="10" t="s">
        <v>317</v>
      </c>
      <c r="G72" s="10" t="s">
        <v>317</v>
      </c>
      <c r="H72" s="10" t="s">
        <v>317</v>
      </c>
      <c r="I72" s="10" t="s">
        <v>656</v>
      </c>
      <c r="J72" s="16"/>
      <c r="K72" s="16"/>
    </row>
    <row r="73" ht="15.75" customHeight="1">
      <c r="A73" s="12">
        <v>190.0</v>
      </c>
      <c r="B73" s="13" t="s">
        <v>397</v>
      </c>
      <c r="C73" s="13" t="s">
        <v>493</v>
      </c>
      <c r="D73" s="13" t="s">
        <v>672</v>
      </c>
      <c r="E73" s="10" t="s">
        <v>320</v>
      </c>
      <c r="F73" s="10" t="s">
        <v>317</v>
      </c>
      <c r="G73" s="10" t="s">
        <v>317</v>
      </c>
      <c r="H73" s="10" t="s">
        <v>317</v>
      </c>
      <c r="I73" s="10" t="s">
        <v>656</v>
      </c>
      <c r="J73" s="16"/>
      <c r="K73" s="16"/>
    </row>
    <row r="74" ht="15.75" customHeight="1">
      <c r="A74" s="12">
        <v>200.0</v>
      </c>
      <c r="B74" s="13" t="s">
        <v>673</v>
      </c>
      <c r="C74" s="13" t="s">
        <v>649</v>
      </c>
      <c r="D74" s="13" t="s">
        <v>671</v>
      </c>
      <c r="E74" s="10" t="s">
        <v>320</v>
      </c>
      <c r="F74" s="10" t="s">
        <v>317</v>
      </c>
      <c r="G74" s="10" t="s">
        <v>317</v>
      </c>
      <c r="H74" s="10" t="s">
        <v>317</v>
      </c>
      <c r="I74" s="10" t="s">
        <v>656</v>
      </c>
      <c r="J74" s="16"/>
      <c r="K74" s="16"/>
    </row>
    <row r="75" ht="15.75" customHeight="1">
      <c r="A75" s="12">
        <v>220.0</v>
      </c>
      <c r="B75" s="13" t="s">
        <v>674</v>
      </c>
      <c r="C75" s="13" t="s">
        <v>552</v>
      </c>
      <c r="D75" s="13" t="s">
        <v>675</v>
      </c>
      <c r="E75" s="10" t="s">
        <v>320</v>
      </c>
      <c r="F75" s="10" t="s">
        <v>317</v>
      </c>
      <c r="G75" s="10" t="s">
        <v>317</v>
      </c>
      <c r="H75" s="10" t="s">
        <v>317</v>
      </c>
      <c r="I75" s="10" t="s">
        <v>656</v>
      </c>
      <c r="J75" s="16"/>
      <c r="K75" s="16"/>
    </row>
    <row r="76" ht="15.75" customHeight="1">
      <c r="A76" s="12">
        <v>240.0</v>
      </c>
      <c r="B76" s="13" t="s">
        <v>465</v>
      </c>
      <c r="C76" s="13" t="s">
        <v>382</v>
      </c>
      <c r="D76" s="13" t="s">
        <v>343</v>
      </c>
      <c r="E76" s="10" t="s">
        <v>320</v>
      </c>
      <c r="F76" s="10" t="s">
        <v>317</v>
      </c>
      <c r="G76" s="10" t="s">
        <v>317</v>
      </c>
      <c r="H76" s="10" t="s">
        <v>317</v>
      </c>
      <c r="I76" s="10" t="s">
        <v>656</v>
      </c>
      <c r="J76" s="16"/>
      <c r="K76" s="16"/>
    </row>
    <row r="77" ht="15.75" customHeight="1">
      <c r="A77" s="12">
        <v>260.0</v>
      </c>
      <c r="B77" s="13" t="s">
        <v>676</v>
      </c>
      <c r="C77" s="13" t="s">
        <v>552</v>
      </c>
      <c r="D77" s="13" t="s">
        <v>677</v>
      </c>
      <c r="E77" s="10" t="s">
        <v>320</v>
      </c>
      <c r="F77" s="10" t="s">
        <v>317</v>
      </c>
      <c r="G77" s="10" t="s">
        <v>317</v>
      </c>
      <c r="H77" s="10" t="s">
        <v>317</v>
      </c>
      <c r="I77" s="10" t="s">
        <v>656</v>
      </c>
      <c r="J77" s="16"/>
      <c r="K77" s="16"/>
    </row>
    <row r="78" ht="15.75" customHeight="1">
      <c r="A78" s="12">
        <v>280.0</v>
      </c>
      <c r="B78" s="13" t="s">
        <v>680</v>
      </c>
      <c r="C78" s="13" t="s">
        <v>547</v>
      </c>
      <c r="D78" s="13" t="s">
        <v>681</v>
      </c>
      <c r="E78" s="10" t="s">
        <v>320</v>
      </c>
      <c r="F78" s="10" t="s">
        <v>317</v>
      </c>
      <c r="G78" s="10" t="s">
        <v>317</v>
      </c>
      <c r="H78" s="10" t="s">
        <v>317</v>
      </c>
      <c r="I78" s="10" t="s">
        <v>656</v>
      </c>
      <c r="J78" s="16"/>
      <c r="K78" s="16"/>
    </row>
    <row r="79" ht="15.75" customHeight="1">
      <c r="A79" s="12">
        <v>300.0</v>
      </c>
      <c r="B79" s="13" t="s">
        <v>684</v>
      </c>
      <c r="C79" s="13" t="s">
        <v>662</v>
      </c>
      <c r="D79" s="13" t="s">
        <v>685</v>
      </c>
      <c r="E79" s="10" t="s">
        <v>320</v>
      </c>
      <c r="F79" s="10" t="s">
        <v>317</v>
      </c>
      <c r="G79" s="10" t="s">
        <v>317</v>
      </c>
      <c r="H79" s="10" t="s">
        <v>317</v>
      </c>
      <c r="I79" s="10" t="s">
        <v>656</v>
      </c>
      <c r="J79" s="16"/>
      <c r="K79" s="16"/>
    </row>
    <row r="80" ht="15.75" customHeight="1">
      <c r="A80" s="12">
        <v>310.0</v>
      </c>
      <c r="B80" s="13" t="s">
        <v>687</v>
      </c>
      <c r="C80" s="13" t="s">
        <v>664</v>
      </c>
      <c r="D80" s="13" t="s">
        <v>688</v>
      </c>
      <c r="E80" s="10" t="s">
        <v>320</v>
      </c>
      <c r="F80" s="10" t="s">
        <v>317</v>
      </c>
      <c r="G80" s="10" t="s">
        <v>317</v>
      </c>
      <c r="H80" s="10" t="s">
        <v>317</v>
      </c>
      <c r="I80" s="10" t="s">
        <v>656</v>
      </c>
      <c r="J80" s="16"/>
      <c r="K80" s="16"/>
    </row>
    <row r="81" ht="15.75" customHeight="1">
      <c r="A81" s="12">
        <v>320.0</v>
      </c>
      <c r="B81" s="13" t="s">
        <v>689</v>
      </c>
      <c r="C81" s="13" t="s">
        <v>580</v>
      </c>
      <c r="D81" s="13" t="s">
        <v>690</v>
      </c>
      <c r="E81" s="10" t="s">
        <v>320</v>
      </c>
      <c r="F81" s="10" t="s">
        <v>317</v>
      </c>
      <c r="G81" s="10" t="s">
        <v>317</v>
      </c>
      <c r="H81" s="10" t="s">
        <v>317</v>
      </c>
      <c r="I81" s="10" t="s">
        <v>656</v>
      </c>
      <c r="J81" s="16"/>
      <c r="K81" s="16"/>
    </row>
    <row r="82" ht="15.75" customHeight="1">
      <c r="A82" s="12">
        <v>330.0</v>
      </c>
      <c r="B82" s="13" t="s">
        <v>691</v>
      </c>
      <c r="C82" s="13" t="s">
        <v>580</v>
      </c>
      <c r="D82" s="13" t="s">
        <v>692</v>
      </c>
      <c r="E82" s="10" t="s">
        <v>408</v>
      </c>
      <c r="F82" s="10" t="s">
        <v>317</v>
      </c>
      <c r="G82" s="10" t="s">
        <v>317</v>
      </c>
      <c r="H82" s="10" t="s">
        <v>317</v>
      </c>
      <c r="I82" s="10" t="s">
        <v>656</v>
      </c>
      <c r="J82" s="16"/>
      <c r="K82" s="16"/>
    </row>
    <row r="83" ht="15.75" customHeight="1">
      <c r="A83" s="12">
        <v>340.0</v>
      </c>
      <c r="B83" s="13" t="s">
        <v>694</v>
      </c>
      <c r="C83" s="13" t="s">
        <v>695</v>
      </c>
      <c r="D83" s="13" t="s">
        <v>696</v>
      </c>
      <c r="E83" s="10" t="s">
        <v>408</v>
      </c>
      <c r="F83" s="10" t="s">
        <v>317</v>
      </c>
      <c r="G83" s="10" t="s">
        <v>317</v>
      </c>
      <c r="H83" s="10" t="s">
        <v>317</v>
      </c>
      <c r="I83" s="10" t="s">
        <v>656</v>
      </c>
      <c r="J83" s="16"/>
      <c r="K83" s="16"/>
    </row>
    <row r="84" ht="15.75" customHeight="1">
      <c r="A84" s="12">
        <v>360.0</v>
      </c>
      <c r="B84" s="13" t="s">
        <v>699</v>
      </c>
      <c r="C84" s="13" t="s">
        <v>700</v>
      </c>
      <c r="D84" s="13" t="s">
        <v>701</v>
      </c>
      <c r="E84" s="10" t="s">
        <v>408</v>
      </c>
      <c r="F84" s="10" t="s">
        <v>317</v>
      </c>
      <c r="G84" s="10" t="s">
        <v>317</v>
      </c>
      <c r="H84" s="10" t="s">
        <v>317</v>
      </c>
      <c r="I84" s="10" t="s">
        <v>656</v>
      </c>
      <c r="J84" s="16"/>
      <c r="K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ataValidations>
    <dataValidation type="list" allowBlank="1" showDropDown="1" showErrorMessage="1" sqref="G62:G84">
      <formula1>"17.2 ms,218.6 ms,1031 ms,3208 ms,—"</formula1>
    </dataValidation>
    <dataValidation type="list" allowBlank="1" showDropDown="1" showErrorMessage="1" sqref="A7:A14">
      <formula1>"1KB (1024 chars),2KB (2048 chars)"</formula1>
    </dataValidation>
    <dataValidation type="list" allowBlank="1" showDropDown="1" showErrorMessage="1" sqref="F62:F84">
      <formula1>"90,94.75,96.32,96.74,—"</formula1>
    </dataValidation>
    <dataValidation type="list" allowBlank="1" showDropDown="1" showErrorMessage="1" sqref="E62:E84">
      <formula1>"PASS,SATURATED"</formula1>
    </dataValidation>
    <dataValidation type="list" allowBlank="1" showDropDown="1" showErrorMessage="1" sqref="H62:H84">
      <formula1>"26.5 ms,346.5 ms,2185 ms,5170 ms,—"</formula1>
    </dataValidation>
    <dataValidation type="list" allowBlank="1" showDropDown="1" showErrorMessage="1" sqref="I62:I84">
      <formula1>"PASS,SATURATED,SATURATED (&gt;90 RPS)"</formula1>
    </dataValidation>
    <dataValidation type="custom" allowBlank="1" showDropDown="1" sqref="B7:B14 B20:B27 A33:A57 A62:A84">
      <formula1>AND(ISNUMBER(A7),(NOT(OR(NOT(ISERROR(DATEVALUE(A7))), AND(ISNUMBER(A7), LEFT(CELL("format", A7))="D")))))</formula1>
    </dataValidation>
    <dataValidation type="list" allowBlank="1" showDropDown="1" showErrorMessage="1" sqref="E33:E57">
      <formula1>"PASS,SATURATED"</formula1>
    </dataValidation>
    <dataValidation type="list" allowBlank="1" showDropDown="1" showErrorMessage="1" sqref="A20:A27">
      <formula1>"1KB (1024 chars),2KB (2048 chars)"</formula1>
    </dataValidation>
    <dataValidation type="list" allowBlank="1" showDropDown="1" showErrorMessage="1" sqref="I33:I57">
      <formula1>"PASS,SATURATED,SATURATED (&gt;180 RPS)"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3.0"/>
    <col customWidth="1" min="2" max="2" width="24.43"/>
    <col customWidth="1" min="3" max="3" width="15.86"/>
    <col customWidth="1" min="4" max="4" width="14.43"/>
    <col customWidth="1" min="5" max="5" width="13.71"/>
    <col customWidth="1" min="6" max="6" width="16.57"/>
    <col customWidth="1" min="7" max="7" width="15.86"/>
    <col customWidth="1" min="8" max="8" width="16.57"/>
    <col customWidth="1" min="9" max="9" width="15.14"/>
    <col customWidth="1" min="10" max="10" width="14.43"/>
  </cols>
  <sheetData>
    <row r="1">
      <c r="A1" s="7" t="s">
        <v>16</v>
      </c>
    </row>
    <row r="3">
      <c r="A3" s="6" t="s">
        <v>17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</row>
    <row r="5" ht="22.5" customHeight="1">
      <c r="A5" s="9" t="s">
        <v>19</v>
      </c>
      <c r="B5" s="9" t="s">
        <v>22</v>
      </c>
      <c r="C5" s="9" t="s">
        <v>23</v>
      </c>
      <c r="D5" s="9" t="s">
        <v>24</v>
      </c>
      <c r="E5" s="9" t="s">
        <v>27</v>
      </c>
      <c r="F5" s="9" t="s">
        <v>29</v>
      </c>
      <c r="G5" s="9" t="s">
        <v>31</v>
      </c>
      <c r="H5" s="9" t="s">
        <v>34</v>
      </c>
      <c r="I5" s="9" t="s">
        <v>36</v>
      </c>
      <c r="J5" s="9" t="s">
        <v>38</v>
      </c>
    </row>
    <row r="6" ht="22.5" customHeight="1">
      <c r="A6" s="10" t="s">
        <v>41</v>
      </c>
      <c r="B6" s="12">
        <v>1.0</v>
      </c>
      <c r="C6" s="13" t="s">
        <v>45</v>
      </c>
      <c r="D6" s="13" t="s">
        <v>47</v>
      </c>
      <c r="E6" s="13" t="s">
        <v>48</v>
      </c>
      <c r="F6" s="13" t="s">
        <v>51</v>
      </c>
      <c r="G6" s="13" t="s">
        <v>53</v>
      </c>
      <c r="H6" s="13" t="s">
        <v>54</v>
      </c>
      <c r="I6" s="13" t="s">
        <v>56</v>
      </c>
      <c r="J6" s="13" t="s">
        <v>58</v>
      </c>
    </row>
    <row r="7" ht="22.5" customHeight="1">
      <c r="A7" s="10" t="s">
        <v>41</v>
      </c>
      <c r="B7" s="12">
        <v>4.0</v>
      </c>
      <c r="C7" s="13" t="s">
        <v>65</v>
      </c>
      <c r="D7" s="13" t="s">
        <v>67</v>
      </c>
      <c r="E7" s="13" t="s">
        <v>69</v>
      </c>
      <c r="F7" s="13" t="s">
        <v>71</v>
      </c>
      <c r="G7" s="13" t="s">
        <v>74</v>
      </c>
      <c r="H7" s="13" t="s">
        <v>76</v>
      </c>
      <c r="I7" s="13" t="s">
        <v>77</v>
      </c>
      <c r="J7" s="13" t="s">
        <v>58</v>
      </c>
    </row>
    <row r="8" ht="22.5" customHeight="1">
      <c r="A8" s="10" t="s">
        <v>41</v>
      </c>
      <c r="B8" s="12">
        <v>8.0</v>
      </c>
      <c r="C8" s="13" t="s">
        <v>81</v>
      </c>
      <c r="D8" s="13" t="s">
        <v>82</v>
      </c>
      <c r="E8" s="13" t="s">
        <v>85</v>
      </c>
      <c r="F8" s="13" t="s">
        <v>87</v>
      </c>
      <c r="G8" s="13" t="s">
        <v>88</v>
      </c>
      <c r="H8" s="13" t="s">
        <v>91</v>
      </c>
      <c r="I8" s="13" t="s">
        <v>93</v>
      </c>
      <c r="J8" s="13" t="s">
        <v>58</v>
      </c>
    </row>
    <row r="9" ht="22.5" customHeight="1">
      <c r="A9" s="10" t="s">
        <v>41</v>
      </c>
      <c r="B9" s="12">
        <v>16.0</v>
      </c>
      <c r="C9" s="13" t="s">
        <v>97</v>
      </c>
      <c r="D9" s="13" t="s">
        <v>98</v>
      </c>
      <c r="E9" s="13" t="s">
        <v>99</v>
      </c>
      <c r="F9" s="13" t="s">
        <v>100</v>
      </c>
      <c r="G9" s="13" t="s">
        <v>101</v>
      </c>
      <c r="H9" s="13" t="s">
        <v>102</v>
      </c>
      <c r="I9" s="13" t="s">
        <v>103</v>
      </c>
      <c r="J9" s="13" t="s">
        <v>58</v>
      </c>
    </row>
    <row r="10" ht="22.5" customHeight="1">
      <c r="A10" s="10" t="s">
        <v>110</v>
      </c>
      <c r="B10" s="12">
        <v>1.0</v>
      </c>
      <c r="C10" s="13" t="s">
        <v>111</v>
      </c>
      <c r="D10" s="13" t="s">
        <v>113</v>
      </c>
      <c r="E10" s="13" t="s">
        <v>115</v>
      </c>
      <c r="F10" s="13" t="s">
        <v>116</v>
      </c>
      <c r="G10" s="13" t="s">
        <v>117</v>
      </c>
      <c r="H10" s="13" t="s">
        <v>119</v>
      </c>
      <c r="I10" s="13" t="s">
        <v>120</v>
      </c>
      <c r="J10" s="13" t="s">
        <v>58</v>
      </c>
    </row>
    <row r="11" ht="22.5" customHeight="1">
      <c r="A11" s="10" t="s">
        <v>110</v>
      </c>
      <c r="B11" s="12">
        <v>4.0</v>
      </c>
      <c r="C11" s="13" t="s">
        <v>122</v>
      </c>
      <c r="D11" s="13" t="s">
        <v>125</v>
      </c>
      <c r="E11" s="13" t="s">
        <v>127</v>
      </c>
      <c r="F11" s="13" t="s">
        <v>129</v>
      </c>
      <c r="G11" s="13" t="s">
        <v>131</v>
      </c>
      <c r="H11" s="13" t="s">
        <v>132</v>
      </c>
      <c r="I11" s="13" t="s">
        <v>134</v>
      </c>
      <c r="J11" s="13" t="s">
        <v>58</v>
      </c>
    </row>
    <row r="12" ht="22.5" customHeight="1">
      <c r="A12" s="10" t="s">
        <v>110</v>
      </c>
      <c r="B12" s="12">
        <v>8.0</v>
      </c>
      <c r="C12" s="13" t="s">
        <v>137</v>
      </c>
      <c r="D12" s="13" t="s">
        <v>138</v>
      </c>
      <c r="E12" s="13" t="s">
        <v>139</v>
      </c>
      <c r="F12" s="13" t="s">
        <v>140</v>
      </c>
      <c r="G12" s="13" t="s">
        <v>141</v>
      </c>
      <c r="H12" s="13" t="s">
        <v>143</v>
      </c>
      <c r="I12" s="13" t="s">
        <v>146</v>
      </c>
      <c r="J12" s="13" t="s">
        <v>58</v>
      </c>
    </row>
    <row r="13" ht="22.5" customHeight="1">
      <c r="A13" s="10" t="s">
        <v>110</v>
      </c>
      <c r="B13" s="12">
        <v>16.0</v>
      </c>
      <c r="C13" s="13" t="s">
        <v>153</v>
      </c>
      <c r="D13" s="13" t="s">
        <v>154</v>
      </c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58</v>
      </c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>
      <c r="A15" s="17" t="s">
        <v>168</v>
      </c>
      <c r="B15" s="17"/>
      <c r="C15" s="17"/>
      <c r="D15" s="17"/>
      <c r="E15" s="17"/>
      <c r="F15" s="17"/>
      <c r="G15" s="17"/>
      <c r="H15" s="17"/>
      <c r="I15" s="17"/>
      <c r="J15" s="1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ht="22.5" customHeight="1">
      <c r="A17" s="9" t="s">
        <v>19</v>
      </c>
      <c r="B17" s="9" t="s">
        <v>22</v>
      </c>
      <c r="C17" s="9" t="s">
        <v>23</v>
      </c>
      <c r="D17" s="9" t="s">
        <v>24</v>
      </c>
      <c r="E17" s="9" t="s">
        <v>27</v>
      </c>
      <c r="F17" s="9" t="s">
        <v>29</v>
      </c>
      <c r="G17" s="9" t="s">
        <v>31</v>
      </c>
      <c r="H17" s="9" t="s">
        <v>34</v>
      </c>
      <c r="I17" s="9" t="s">
        <v>36</v>
      </c>
      <c r="J17" s="9" t="s">
        <v>38</v>
      </c>
    </row>
    <row r="18" ht="22.5" customHeight="1">
      <c r="A18" s="10" t="s">
        <v>41</v>
      </c>
      <c r="B18" s="12">
        <v>1.0</v>
      </c>
      <c r="C18" s="13" t="s">
        <v>49</v>
      </c>
      <c r="D18" s="13" t="s">
        <v>55</v>
      </c>
      <c r="E18" s="13" t="s">
        <v>61</v>
      </c>
      <c r="F18" s="13" t="s">
        <v>179</v>
      </c>
      <c r="G18" s="13" t="s">
        <v>180</v>
      </c>
      <c r="H18" s="13" t="s">
        <v>181</v>
      </c>
      <c r="I18" s="13" t="s">
        <v>182</v>
      </c>
      <c r="J18" s="13" t="s">
        <v>58</v>
      </c>
    </row>
    <row r="19" ht="22.5" customHeight="1">
      <c r="A19" s="10" t="s">
        <v>41</v>
      </c>
      <c r="B19" s="12">
        <v>4.0</v>
      </c>
      <c r="C19" s="13" t="s">
        <v>72</v>
      </c>
      <c r="D19" s="13" t="s">
        <v>78</v>
      </c>
      <c r="E19" s="13" t="s">
        <v>80</v>
      </c>
      <c r="F19" s="13" t="s">
        <v>183</v>
      </c>
      <c r="G19" s="13" t="s">
        <v>184</v>
      </c>
      <c r="H19" s="13" t="s">
        <v>185</v>
      </c>
      <c r="I19" s="13" t="s">
        <v>186</v>
      </c>
      <c r="J19" s="13" t="s">
        <v>58</v>
      </c>
    </row>
    <row r="20" ht="22.5" customHeight="1">
      <c r="A20" s="10" t="s">
        <v>41</v>
      </c>
      <c r="B20" s="12">
        <v>8.0</v>
      </c>
      <c r="C20" s="13" t="s">
        <v>90</v>
      </c>
      <c r="D20" s="13" t="s">
        <v>94</v>
      </c>
      <c r="E20" s="13" t="s">
        <v>96</v>
      </c>
      <c r="F20" s="13" t="s">
        <v>187</v>
      </c>
      <c r="G20" s="13" t="s">
        <v>188</v>
      </c>
      <c r="H20" s="13" t="s">
        <v>189</v>
      </c>
      <c r="I20" s="13" t="s">
        <v>190</v>
      </c>
      <c r="J20" s="13" t="s">
        <v>58</v>
      </c>
    </row>
    <row r="21" ht="22.5" customHeight="1">
      <c r="A21" s="10" t="s">
        <v>41</v>
      </c>
      <c r="B21" s="12">
        <v>16.0</v>
      </c>
      <c r="C21" s="13" t="s">
        <v>108</v>
      </c>
      <c r="D21" s="13" t="s">
        <v>112</v>
      </c>
      <c r="E21" s="13" t="s">
        <v>118</v>
      </c>
      <c r="F21" s="13" t="s">
        <v>197</v>
      </c>
      <c r="G21" s="13" t="s">
        <v>198</v>
      </c>
      <c r="H21" s="13" t="s">
        <v>199</v>
      </c>
      <c r="I21" s="13" t="s">
        <v>200</v>
      </c>
      <c r="J21" s="13" t="s">
        <v>58</v>
      </c>
    </row>
    <row r="22" ht="22.5" customHeight="1">
      <c r="A22" s="10" t="s">
        <v>110</v>
      </c>
      <c r="B22" s="12">
        <v>1.0</v>
      </c>
      <c r="C22" s="13" t="s">
        <v>128</v>
      </c>
      <c r="D22" s="13" t="s">
        <v>133</v>
      </c>
      <c r="E22" s="13" t="s">
        <v>136</v>
      </c>
      <c r="F22" s="13" t="s">
        <v>201</v>
      </c>
      <c r="G22" s="13" t="s">
        <v>202</v>
      </c>
      <c r="H22" s="13" t="s">
        <v>204</v>
      </c>
      <c r="I22" s="13" t="s">
        <v>206</v>
      </c>
      <c r="J22" s="13" t="s">
        <v>58</v>
      </c>
    </row>
    <row r="23" ht="15.75" customHeight="1">
      <c r="A23" s="10" t="s">
        <v>110</v>
      </c>
      <c r="B23" s="12">
        <v>4.0</v>
      </c>
      <c r="C23" s="13" t="s">
        <v>148</v>
      </c>
      <c r="D23" s="13" t="s">
        <v>150</v>
      </c>
      <c r="E23" s="13" t="s">
        <v>152</v>
      </c>
      <c r="F23" s="13" t="s">
        <v>212</v>
      </c>
      <c r="G23" s="13" t="s">
        <v>213</v>
      </c>
      <c r="H23" s="13" t="s">
        <v>214</v>
      </c>
      <c r="I23" s="13" t="s">
        <v>215</v>
      </c>
      <c r="J23" s="13" t="s">
        <v>58</v>
      </c>
    </row>
    <row r="24" ht="15.75" customHeight="1">
      <c r="A24" s="10" t="s">
        <v>110</v>
      </c>
      <c r="B24" s="12">
        <v>8.0</v>
      </c>
      <c r="C24" s="13" t="s">
        <v>165</v>
      </c>
      <c r="D24" s="13" t="s">
        <v>166</v>
      </c>
      <c r="E24" s="13" t="s">
        <v>153</v>
      </c>
      <c r="F24" s="13" t="s">
        <v>189</v>
      </c>
      <c r="G24" s="13" t="s">
        <v>223</v>
      </c>
      <c r="H24" s="13" t="s">
        <v>224</v>
      </c>
      <c r="I24" s="13" t="s">
        <v>225</v>
      </c>
      <c r="J24" s="13" t="s">
        <v>58</v>
      </c>
    </row>
    <row r="25" ht="15.75" customHeight="1">
      <c r="A25" s="10" t="s">
        <v>110</v>
      </c>
      <c r="B25" s="12">
        <v>16.0</v>
      </c>
      <c r="C25" s="13" t="s">
        <v>174</v>
      </c>
      <c r="D25" s="13" t="s">
        <v>175</v>
      </c>
      <c r="E25" s="13" t="s">
        <v>177</v>
      </c>
      <c r="F25" s="13" t="s">
        <v>230</v>
      </c>
      <c r="G25" s="13" t="s">
        <v>141</v>
      </c>
      <c r="H25" s="13" t="s">
        <v>233</v>
      </c>
      <c r="I25" s="13" t="s">
        <v>234</v>
      </c>
      <c r="J25" s="13" t="s">
        <v>58</v>
      </c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7" t="s">
        <v>237</v>
      </c>
      <c r="B27" s="24"/>
      <c r="C27" s="24"/>
      <c r="D27" s="24"/>
      <c r="E27" s="24"/>
      <c r="F27" s="24"/>
      <c r="G27" s="24"/>
      <c r="H27" s="24"/>
      <c r="I27" s="24"/>
      <c r="J27" s="24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ht="15.75" customHeight="1">
      <c r="A29" s="9" t="s">
        <v>19</v>
      </c>
      <c r="B29" s="9" t="s">
        <v>22</v>
      </c>
      <c r="C29" s="9" t="s">
        <v>23</v>
      </c>
      <c r="D29" s="9" t="s">
        <v>24</v>
      </c>
      <c r="E29" s="9" t="s">
        <v>27</v>
      </c>
      <c r="F29" s="9" t="s">
        <v>29</v>
      </c>
      <c r="G29" s="9" t="s">
        <v>31</v>
      </c>
      <c r="H29" s="9" t="s">
        <v>34</v>
      </c>
      <c r="I29" s="9" t="s">
        <v>36</v>
      </c>
      <c r="J29" s="9" t="s">
        <v>38</v>
      </c>
    </row>
    <row r="30" ht="15.75" customHeight="1">
      <c r="A30" s="10" t="s">
        <v>41</v>
      </c>
      <c r="B30" s="12">
        <v>1.0</v>
      </c>
      <c r="C30" s="13" t="s">
        <v>194</v>
      </c>
      <c r="D30" s="13" t="s">
        <v>47</v>
      </c>
      <c r="E30" s="13" t="s">
        <v>48</v>
      </c>
      <c r="F30" s="13" t="s">
        <v>246</v>
      </c>
      <c r="G30" s="13" t="s">
        <v>247</v>
      </c>
      <c r="H30" s="13" t="s">
        <v>249</v>
      </c>
      <c r="I30" s="13" t="s">
        <v>251</v>
      </c>
      <c r="J30" s="13" t="s">
        <v>58</v>
      </c>
    </row>
    <row r="31" ht="15.75" customHeight="1">
      <c r="A31" s="10" t="s">
        <v>41</v>
      </c>
      <c r="B31" s="12">
        <v>4.0</v>
      </c>
      <c r="C31" s="13" t="s">
        <v>208</v>
      </c>
      <c r="D31" s="13" t="s">
        <v>67</v>
      </c>
      <c r="E31" s="13" t="s">
        <v>69</v>
      </c>
      <c r="F31" s="13" t="s">
        <v>87</v>
      </c>
      <c r="G31" s="13" t="s">
        <v>259</v>
      </c>
      <c r="H31" s="13" t="s">
        <v>260</v>
      </c>
      <c r="I31" s="13" t="s">
        <v>261</v>
      </c>
      <c r="J31" s="13" t="s">
        <v>58</v>
      </c>
    </row>
    <row r="32" ht="15.75" customHeight="1">
      <c r="A32" s="10" t="s">
        <v>41</v>
      </c>
      <c r="B32" s="12">
        <v>8.0</v>
      </c>
      <c r="C32" s="13" t="s">
        <v>217</v>
      </c>
      <c r="D32" s="13" t="s">
        <v>82</v>
      </c>
      <c r="E32" s="13" t="s">
        <v>85</v>
      </c>
      <c r="F32" s="13" t="s">
        <v>267</v>
      </c>
      <c r="G32" s="13" t="s">
        <v>269</v>
      </c>
      <c r="H32" s="13" t="s">
        <v>271</v>
      </c>
      <c r="I32" s="13" t="s">
        <v>272</v>
      </c>
      <c r="J32" s="13" t="s">
        <v>58</v>
      </c>
    </row>
    <row r="33" ht="15.75" customHeight="1">
      <c r="A33" s="10" t="s">
        <v>41</v>
      </c>
      <c r="B33" s="12">
        <v>16.0</v>
      </c>
      <c r="C33" s="13" t="s">
        <v>229</v>
      </c>
      <c r="D33" s="13" t="s">
        <v>98</v>
      </c>
      <c r="E33" s="13" t="s">
        <v>99</v>
      </c>
      <c r="F33" s="13" t="s">
        <v>278</v>
      </c>
      <c r="G33" s="13" t="s">
        <v>280</v>
      </c>
      <c r="H33" s="13" t="s">
        <v>282</v>
      </c>
      <c r="I33" s="13" t="s">
        <v>283</v>
      </c>
      <c r="J33" s="13" t="s">
        <v>58</v>
      </c>
    </row>
    <row r="34" ht="15.75" customHeight="1">
      <c r="A34" s="10" t="s">
        <v>110</v>
      </c>
      <c r="B34" s="12">
        <v>1.0</v>
      </c>
      <c r="C34" s="13" t="s">
        <v>242</v>
      </c>
      <c r="D34" s="13" t="s">
        <v>113</v>
      </c>
      <c r="E34" s="13" t="s">
        <v>115</v>
      </c>
      <c r="F34" s="13" t="s">
        <v>287</v>
      </c>
      <c r="G34" s="13" t="s">
        <v>257</v>
      </c>
      <c r="H34" s="13" t="s">
        <v>289</v>
      </c>
      <c r="I34" s="13" t="s">
        <v>290</v>
      </c>
      <c r="J34" s="13" t="s">
        <v>58</v>
      </c>
    </row>
    <row r="35" ht="15.75" customHeight="1">
      <c r="A35" s="10" t="s">
        <v>110</v>
      </c>
      <c r="B35" s="12">
        <v>4.0</v>
      </c>
      <c r="C35" s="13" t="s">
        <v>253</v>
      </c>
      <c r="D35" s="13" t="s">
        <v>125</v>
      </c>
      <c r="E35" s="13" t="s">
        <v>127</v>
      </c>
      <c r="F35" s="13" t="s">
        <v>295</v>
      </c>
      <c r="G35" s="13" t="s">
        <v>296</v>
      </c>
      <c r="H35" s="13" t="s">
        <v>297</v>
      </c>
      <c r="I35" s="13" t="s">
        <v>299</v>
      </c>
      <c r="J35" s="13" t="s">
        <v>58</v>
      </c>
    </row>
    <row r="36" ht="15.75" customHeight="1">
      <c r="A36" s="10" t="s">
        <v>110</v>
      </c>
      <c r="B36" s="12">
        <v>8.0</v>
      </c>
      <c r="C36" s="13" t="s">
        <v>270</v>
      </c>
      <c r="D36" s="13" t="s">
        <v>138</v>
      </c>
      <c r="E36" s="13" t="s">
        <v>139</v>
      </c>
      <c r="F36" s="13" t="s">
        <v>312</v>
      </c>
      <c r="G36" s="13" t="s">
        <v>313</v>
      </c>
      <c r="H36" s="13" t="s">
        <v>314</v>
      </c>
      <c r="I36" s="13" t="s">
        <v>315</v>
      </c>
      <c r="J36" s="13" t="s">
        <v>58</v>
      </c>
    </row>
    <row r="37" ht="15.75" customHeight="1">
      <c r="A37" s="10" t="s">
        <v>110</v>
      </c>
      <c r="B37" s="12">
        <v>16.0</v>
      </c>
      <c r="C37" s="13" t="s">
        <v>285</v>
      </c>
      <c r="D37" s="13" t="s">
        <v>154</v>
      </c>
      <c r="E37" s="13" t="s">
        <v>155</v>
      </c>
      <c r="F37" s="13" t="s">
        <v>329</v>
      </c>
      <c r="G37" s="13" t="s">
        <v>330</v>
      </c>
      <c r="H37" s="13" t="s">
        <v>331</v>
      </c>
      <c r="I37" s="13" t="s">
        <v>332</v>
      </c>
      <c r="J37" s="13" t="s">
        <v>58</v>
      </c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7" t="s">
        <v>334</v>
      </c>
      <c r="B39" s="24"/>
      <c r="C39" s="24"/>
      <c r="D39" s="24"/>
      <c r="E39" s="24"/>
      <c r="F39" s="24"/>
      <c r="G39" s="24"/>
      <c r="H39" s="24"/>
      <c r="I39" s="24"/>
      <c r="J39" s="24"/>
    </row>
    <row r="40" ht="15.75" customHeight="1">
      <c r="A40" s="25"/>
      <c r="B40" s="16"/>
      <c r="C40" s="16"/>
      <c r="D40" s="16"/>
      <c r="E40" s="16"/>
      <c r="F40" s="16"/>
      <c r="G40" s="16"/>
      <c r="H40" s="16"/>
      <c r="I40" s="16"/>
      <c r="J40" s="16"/>
    </row>
    <row r="41" ht="15.75" customHeight="1">
      <c r="A41" s="9" t="s">
        <v>19</v>
      </c>
      <c r="B41" s="9" t="s">
        <v>22</v>
      </c>
      <c r="C41" s="9" t="s">
        <v>23</v>
      </c>
      <c r="D41" s="9" t="s">
        <v>24</v>
      </c>
      <c r="E41" s="9" t="s">
        <v>27</v>
      </c>
      <c r="F41" s="9" t="s">
        <v>29</v>
      </c>
      <c r="G41" s="9" t="s">
        <v>31</v>
      </c>
      <c r="H41" s="9" t="s">
        <v>34</v>
      </c>
      <c r="I41" s="9" t="s">
        <v>36</v>
      </c>
      <c r="J41" s="9" t="s">
        <v>38</v>
      </c>
    </row>
    <row r="42" ht="15.75" customHeight="1">
      <c r="A42" s="13" t="s">
        <v>41</v>
      </c>
      <c r="B42" s="13">
        <v>1.0</v>
      </c>
      <c r="C42" s="13" t="s">
        <v>195</v>
      </c>
      <c r="D42" s="13" t="s">
        <v>55</v>
      </c>
      <c r="E42" s="13" t="s">
        <v>61</v>
      </c>
      <c r="F42" s="13" t="s">
        <v>344</v>
      </c>
      <c r="G42" s="13" t="s">
        <v>345</v>
      </c>
      <c r="H42" s="13" t="s">
        <v>346</v>
      </c>
      <c r="I42" s="13" t="s">
        <v>347</v>
      </c>
      <c r="J42" s="13" t="s">
        <v>58</v>
      </c>
    </row>
    <row r="43" ht="15.75" customHeight="1">
      <c r="A43" s="13" t="s">
        <v>41</v>
      </c>
      <c r="B43" s="13">
        <v>4.0</v>
      </c>
      <c r="C43" s="13" t="s">
        <v>209</v>
      </c>
      <c r="D43" s="13" t="s">
        <v>78</v>
      </c>
      <c r="E43" s="13" t="s">
        <v>80</v>
      </c>
      <c r="F43" s="13" t="s">
        <v>354</v>
      </c>
      <c r="G43" s="13" t="s">
        <v>225</v>
      </c>
      <c r="H43" s="13" t="s">
        <v>355</v>
      </c>
      <c r="I43" s="13" t="s">
        <v>356</v>
      </c>
      <c r="J43" s="13" t="s">
        <v>58</v>
      </c>
    </row>
    <row r="44" ht="15.75" customHeight="1">
      <c r="A44" s="13" t="s">
        <v>41</v>
      </c>
      <c r="B44" s="13">
        <v>8.0</v>
      </c>
      <c r="C44" s="13" t="s">
        <v>218</v>
      </c>
      <c r="D44" s="13" t="s">
        <v>94</v>
      </c>
      <c r="E44" s="13" t="s">
        <v>96</v>
      </c>
      <c r="F44" s="13" t="s">
        <v>359</v>
      </c>
      <c r="G44" s="13" t="s">
        <v>360</v>
      </c>
      <c r="H44" s="13" t="s">
        <v>362</v>
      </c>
      <c r="I44" s="13" t="s">
        <v>296</v>
      </c>
      <c r="J44" s="13" t="s">
        <v>58</v>
      </c>
    </row>
    <row r="45" ht="15.75" customHeight="1">
      <c r="A45" s="13" t="s">
        <v>41</v>
      </c>
      <c r="B45" s="13">
        <v>16.0</v>
      </c>
      <c r="C45" s="13" t="s">
        <v>231</v>
      </c>
      <c r="D45" s="13" t="s">
        <v>112</v>
      </c>
      <c r="E45" s="13" t="s">
        <v>118</v>
      </c>
      <c r="F45" s="13" t="s">
        <v>368</v>
      </c>
      <c r="G45" s="13" t="s">
        <v>370</v>
      </c>
      <c r="H45" s="13" t="s">
        <v>371</v>
      </c>
      <c r="I45" s="13" t="s">
        <v>372</v>
      </c>
      <c r="J45" s="13" t="s">
        <v>58</v>
      </c>
    </row>
    <row r="46" ht="15.75" customHeight="1">
      <c r="A46" s="13" t="s">
        <v>110</v>
      </c>
      <c r="B46" s="13">
        <v>1.0</v>
      </c>
      <c r="C46" s="13" t="s">
        <v>245</v>
      </c>
      <c r="D46" s="13" t="s">
        <v>133</v>
      </c>
      <c r="E46" s="13" t="s">
        <v>136</v>
      </c>
      <c r="F46" s="13" t="s">
        <v>376</v>
      </c>
      <c r="G46" s="13" t="s">
        <v>377</v>
      </c>
      <c r="H46" s="13" t="s">
        <v>378</v>
      </c>
      <c r="I46" s="13" t="s">
        <v>379</v>
      </c>
      <c r="J46" s="13" t="s">
        <v>58</v>
      </c>
    </row>
    <row r="47" ht="15.75" customHeight="1">
      <c r="A47" s="13" t="s">
        <v>110</v>
      </c>
      <c r="B47" s="13">
        <v>4.0</v>
      </c>
      <c r="C47" s="13" t="s">
        <v>256</v>
      </c>
      <c r="D47" s="13" t="s">
        <v>150</v>
      </c>
      <c r="E47" s="13" t="s">
        <v>152</v>
      </c>
      <c r="F47" s="13" t="s">
        <v>383</v>
      </c>
      <c r="G47" s="13" t="s">
        <v>384</v>
      </c>
      <c r="H47" s="13" t="s">
        <v>386</v>
      </c>
      <c r="I47" s="13" t="s">
        <v>389</v>
      </c>
      <c r="J47" s="13" t="s">
        <v>58</v>
      </c>
    </row>
    <row r="48" ht="15.75" customHeight="1">
      <c r="A48" s="13" t="s">
        <v>110</v>
      </c>
      <c r="B48" s="13">
        <v>8.0</v>
      </c>
      <c r="C48" s="13" t="s">
        <v>273</v>
      </c>
      <c r="D48" s="13" t="s">
        <v>166</v>
      </c>
      <c r="E48" s="13" t="s">
        <v>153</v>
      </c>
      <c r="F48" s="13" t="s">
        <v>394</v>
      </c>
      <c r="G48" s="13" t="s">
        <v>283</v>
      </c>
      <c r="H48" s="13" t="s">
        <v>395</v>
      </c>
      <c r="I48" s="13" t="s">
        <v>396</v>
      </c>
      <c r="J48" s="13" t="s">
        <v>58</v>
      </c>
    </row>
    <row r="49" ht="15.75" customHeight="1">
      <c r="A49" s="13" t="s">
        <v>110</v>
      </c>
      <c r="B49" s="13">
        <v>16.0</v>
      </c>
      <c r="C49" s="13" t="s">
        <v>286</v>
      </c>
      <c r="D49" s="13" t="s">
        <v>175</v>
      </c>
      <c r="E49" s="13" t="s">
        <v>177</v>
      </c>
      <c r="F49" s="13" t="s">
        <v>398</v>
      </c>
      <c r="G49" s="13" t="s">
        <v>400</v>
      </c>
      <c r="H49" s="13" t="s">
        <v>401</v>
      </c>
      <c r="I49" s="13" t="s">
        <v>402</v>
      </c>
      <c r="J49" s="13" t="s">
        <v>58</v>
      </c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>
      <c r="A51" s="17" t="s">
        <v>409</v>
      </c>
      <c r="B51" s="24"/>
      <c r="C51" s="24"/>
      <c r="D51" s="24"/>
      <c r="E51" s="24"/>
      <c r="F51" s="24"/>
      <c r="G51" s="24"/>
      <c r="H51" s="24"/>
      <c r="I51" s="24"/>
      <c r="J51" s="24"/>
    </row>
    <row r="52" ht="15.75" customHeight="1">
      <c r="A52" s="18"/>
      <c r="B52" s="18"/>
      <c r="C52" s="18"/>
      <c r="D52" s="18"/>
      <c r="E52" s="18"/>
      <c r="F52" s="18"/>
      <c r="G52" s="18"/>
      <c r="H52" s="16"/>
      <c r="I52" s="16"/>
      <c r="J52" s="16"/>
    </row>
    <row r="53" ht="15.75" customHeight="1">
      <c r="A53" s="9" t="s">
        <v>412</v>
      </c>
      <c r="B53" s="9" t="s">
        <v>413</v>
      </c>
      <c r="C53" s="9" t="s">
        <v>298</v>
      </c>
      <c r="D53" s="9" t="s">
        <v>414</v>
      </c>
      <c r="E53" s="9" t="s">
        <v>415</v>
      </c>
      <c r="F53" s="9" t="s">
        <v>416</v>
      </c>
      <c r="G53" s="9" t="s">
        <v>417</v>
      </c>
      <c r="H53" s="16"/>
      <c r="I53" s="16"/>
      <c r="J53" s="16"/>
    </row>
    <row r="54" ht="15.75" customHeight="1">
      <c r="A54" s="13" t="s">
        <v>418</v>
      </c>
      <c r="B54" s="13" t="s">
        <v>419</v>
      </c>
      <c r="C54" s="13" t="s">
        <v>420</v>
      </c>
      <c r="D54" s="13" t="s">
        <v>317</v>
      </c>
      <c r="E54" s="13" t="s">
        <v>317</v>
      </c>
      <c r="F54" s="13" t="s">
        <v>423</v>
      </c>
      <c r="G54" s="13" t="s">
        <v>317</v>
      </c>
      <c r="H54" s="16"/>
      <c r="I54" s="16"/>
      <c r="J54" s="16"/>
    </row>
    <row r="55" ht="15.75" customHeight="1">
      <c r="A55" s="13" t="s">
        <v>418</v>
      </c>
      <c r="B55" s="13" t="s">
        <v>428</v>
      </c>
      <c r="C55" s="13" t="s">
        <v>431</v>
      </c>
      <c r="D55" s="13" t="s">
        <v>432</v>
      </c>
      <c r="E55" s="13" t="s">
        <v>433</v>
      </c>
      <c r="F55" s="13" t="s">
        <v>434</v>
      </c>
      <c r="G55" s="13" t="s">
        <v>423</v>
      </c>
      <c r="H55" s="16"/>
      <c r="I55" s="16"/>
      <c r="J55" s="16"/>
    </row>
    <row r="56" ht="15.75" customHeight="1">
      <c r="A56" s="13" t="s">
        <v>418</v>
      </c>
      <c r="B56" s="13" t="s">
        <v>435</v>
      </c>
      <c r="C56" s="13" t="s">
        <v>436</v>
      </c>
      <c r="D56" s="13" t="s">
        <v>437</v>
      </c>
      <c r="E56" s="13" t="s">
        <v>438</v>
      </c>
      <c r="F56" s="13" t="s">
        <v>439</v>
      </c>
      <c r="G56" s="13" t="s">
        <v>440</v>
      </c>
      <c r="H56" s="16"/>
      <c r="I56" s="16"/>
      <c r="J56" s="16"/>
    </row>
    <row r="57" ht="15.75" customHeight="1">
      <c r="A57" s="13" t="s">
        <v>418</v>
      </c>
      <c r="B57" s="13" t="s">
        <v>441</v>
      </c>
      <c r="C57" s="13" t="s">
        <v>442</v>
      </c>
      <c r="D57" s="13" t="s">
        <v>444</v>
      </c>
      <c r="E57" s="13" t="s">
        <v>446</v>
      </c>
      <c r="F57" s="13" t="s">
        <v>448</v>
      </c>
      <c r="G57" s="13" t="s">
        <v>450</v>
      </c>
      <c r="H57" s="16"/>
      <c r="I57" s="16"/>
      <c r="J57" s="16"/>
    </row>
    <row r="58" ht="15.75" customHeight="1">
      <c r="A58" s="13" t="s">
        <v>453</v>
      </c>
      <c r="B58" s="13" t="s">
        <v>419</v>
      </c>
      <c r="C58" s="13" t="s">
        <v>455</v>
      </c>
      <c r="D58" s="13" t="s">
        <v>317</v>
      </c>
      <c r="E58" s="13" t="s">
        <v>317</v>
      </c>
      <c r="F58" s="13" t="s">
        <v>423</v>
      </c>
      <c r="G58" s="13" t="s">
        <v>317</v>
      </c>
      <c r="H58" s="16"/>
      <c r="I58" s="16"/>
      <c r="J58" s="16"/>
    </row>
    <row r="59" ht="15.75" customHeight="1">
      <c r="A59" s="13" t="s">
        <v>453</v>
      </c>
      <c r="B59" s="13" t="s">
        <v>428</v>
      </c>
      <c r="C59" s="13" t="s">
        <v>457</v>
      </c>
      <c r="D59" s="13" t="s">
        <v>458</v>
      </c>
      <c r="E59" s="13" t="s">
        <v>459</v>
      </c>
      <c r="F59" s="13" t="s">
        <v>460</v>
      </c>
      <c r="G59" s="13" t="s">
        <v>423</v>
      </c>
      <c r="H59" s="16"/>
      <c r="I59" s="16"/>
      <c r="J59" s="16"/>
    </row>
    <row r="60" ht="15.75" customHeight="1">
      <c r="A60" s="13" t="s">
        <v>453</v>
      </c>
      <c r="B60" s="13" t="s">
        <v>462</v>
      </c>
      <c r="C60" s="13" t="s">
        <v>463</v>
      </c>
      <c r="D60" s="13" t="s">
        <v>444</v>
      </c>
      <c r="E60" s="13" t="s">
        <v>466</v>
      </c>
      <c r="F60" s="13" t="s">
        <v>467</v>
      </c>
      <c r="G60" s="13" t="s">
        <v>469</v>
      </c>
      <c r="H60" s="16"/>
      <c r="I60" s="16"/>
      <c r="J60" s="16"/>
    </row>
    <row r="61" ht="15.75" customHeight="1">
      <c r="A61" s="13" t="s">
        <v>453</v>
      </c>
      <c r="B61" s="13" t="s">
        <v>472</v>
      </c>
      <c r="C61" s="13" t="s">
        <v>473</v>
      </c>
      <c r="D61" s="13" t="s">
        <v>474</v>
      </c>
      <c r="E61" s="13" t="s">
        <v>475</v>
      </c>
      <c r="F61" s="13" t="s">
        <v>476</v>
      </c>
      <c r="G61" s="13" t="s">
        <v>477</v>
      </c>
      <c r="H61" s="16"/>
      <c r="I61" s="16"/>
      <c r="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>
      <c r="A63" s="17" t="s">
        <v>478</v>
      </c>
      <c r="B63" s="24"/>
      <c r="C63" s="24"/>
      <c r="D63" s="24"/>
      <c r="E63" s="24"/>
      <c r="F63" s="24"/>
      <c r="G63" s="24"/>
      <c r="H63" s="24"/>
      <c r="I63" s="24"/>
      <c r="J63" s="24"/>
    </row>
    <row r="64" ht="15.75" customHeight="1">
      <c r="A64" s="18"/>
      <c r="B64" s="18"/>
      <c r="C64" s="18"/>
      <c r="D64" s="18"/>
      <c r="E64" s="18"/>
      <c r="F64" s="11"/>
      <c r="G64" s="11"/>
      <c r="H64" s="16"/>
      <c r="I64" s="16"/>
      <c r="J64" s="16"/>
    </row>
    <row r="65" ht="15.75" customHeight="1">
      <c r="A65" s="9" t="s">
        <v>482</v>
      </c>
      <c r="B65" s="9" t="s">
        <v>484</v>
      </c>
      <c r="C65" s="9" t="s">
        <v>485</v>
      </c>
      <c r="D65" s="9" t="s">
        <v>486</v>
      </c>
      <c r="E65" s="9" t="s">
        <v>487</v>
      </c>
      <c r="F65" s="22" t="s">
        <v>488</v>
      </c>
      <c r="G65" s="22" t="s">
        <v>490</v>
      </c>
      <c r="H65" s="16"/>
      <c r="I65" s="16"/>
      <c r="J65" s="16"/>
    </row>
    <row r="66" ht="15.75" customHeight="1">
      <c r="A66" s="13" t="s">
        <v>492</v>
      </c>
      <c r="B66" s="13" t="s">
        <v>494</v>
      </c>
      <c r="C66" s="26">
        <v>0.7</v>
      </c>
      <c r="D66" s="26">
        <f t="shared" ref="D66:D71" si="1">C66/(0.4*F66*3600)*1000000</f>
        <v>6.944444444</v>
      </c>
      <c r="E66" s="26">
        <f t="shared" ref="E66:E71" si="2">C66/(0.4*G66*3600)*1000000</f>
        <v>12.15277778</v>
      </c>
      <c r="F66" s="27">
        <v>70.0</v>
      </c>
      <c r="G66" s="27">
        <v>40.0</v>
      </c>
      <c r="H66" s="16"/>
      <c r="I66" s="16"/>
      <c r="J66" s="16"/>
    </row>
    <row r="67" ht="15.75" customHeight="1">
      <c r="A67" s="13" t="s">
        <v>505</v>
      </c>
      <c r="B67" s="13" t="s">
        <v>506</v>
      </c>
      <c r="C67" s="26">
        <v>1.2</v>
      </c>
      <c r="D67" s="26">
        <f t="shared" si="1"/>
        <v>4.456327986</v>
      </c>
      <c r="E67" s="26">
        <f t="shared" si="2"/>
        <v>9.259259259</v>
      </c>
      <c r="F67" s="27">
        <v>187.0</v>
      </c>
      <c r="G67" s="27">
        <v>90.0</v>
      </c>
      <c r="H67" s="16"/>
      <c r="I67" s="16"/>
      <c r="J67" s="16"/>
    </row>
    <row r="68" ht="15.75" customHeight="1">
      <c r="A68" s="13" t="s">
        <v>509</v>
      </c>
      <c r="B68" s="13" t="s">
        <v>506</v>
      </c>
      <c r="C68" s="26">
        <v>1.22</v>
      </c>
      <c r="D68" s="26">
        <f t="shared" si="1"/>
        <v>4.530600119</v>
      </c>
      <c r="E68" s="26">
        <f t="shared" si="2"/>
        <v>9.413580247</v>
      </c>
      <c r="F68" s="27">
        <v>187.0</v>
      </c>
      <c r="G68" s="27">
        <v>90.0</v>
      </c>
      <c r="H68" s="16"/>
      <c r="I68" s="16"/>
      <c r="J68" s="16"/>
    </row>
    <row r="69" ht="15.75" customHeight="1">
      <c r="A69" s="13" t="s">
        <v>516</v>
      </c>
      <c r="B69" s="13" t="s">
        <v>506</v>
      </c>
      <c r="C69" s="26">
        <v>1.22</v>
      </c>
      <c r="D69" s="26">
        <f t="shared" si="1"/>
        <v>4.706790123</v>
      </c>
      <c r="E69" s="26">
        <f t="shared" si="2"/>
        <v>9.413580247</v>
      </c>
      <c r="F69" s="27">
        <v>180.0</v>
      </c>
      <c r="G69" s="27">
        <v>90.0</v>
      </c>
      <c r="H69" s="16"/>
      <c r="I69" s="16"/>
      <c r="J69" s="16"/>
    </row>
    <row r="70" ht="15.75" customHeight="1">
      <c r="A70" s="13" t="s">
        <v>517</v>
      </c>
      <c r="B70" s="13" t="s">
        <v>518</v>
      </c>
      <c r="C70" s="26">
        <v>2.7</v>
      </c>
      <c r="D70" s="26">
        <f t="shared" si="1"/>
        <v>3.826530612</v>
      </c>
      <c r="E70" s="26">
        <f t="shared" si="2"/>
        <v>5.859375</v>
      </c>
      <c r="F70" s="27">
        <v>490.0</v>
      </c>
      <c r="G70" s="27">
        <v>320.0</v>
      </c>
      <c r="H70" s="16"/>
      <c r="I70" s="16"/>
      <c r="J70" s="16"/>
    </row>
    <row r="71" ht="15.75" customHeight="1">
      <c r="A71" s="13" t="s">
        <v>526</v>
      </c>
      <c r="B71" s="13" t="s">
        <v>518</v>
      </c>
      <c r="C71" s="26">
        <v>2.7</v>
      </c>
      <c r="D71" s="26">
        <f t="shared" si="1"/>
        <v>3.90625</v>
      </c>
      <c r="E71" s="26">
        <f t="shared" si="2"/>
        <v>5.859375</v>
      </c>
      <c r="F71" s="27">
        <v>480.0</v>
      </c>
      <c r="G71" s="27">
        <v>320.0</v>
      </c>
      <c r="H71" s="16"/>
      <c r="I71" s="16"/>
      <c r="J71" s="16"/>
    </row>
    <row r="72" ht="15.75" customHeight="1">
      <c r="A72" s="13" t="s">
        <v>527</v>
      </c>
      <c r="B72" s="13"/>
      <c r="C72" s="13"/>
      <c r="D72" s="28">
        <f t="shared" ref="D72:E72" si="3">(D66-D67)/D66</f>
        <v>0.3582887701</v>
      </c>
      <c r="E72" s="28">
        <f t="shared" si="3"/>
        <v>0.2380952381</v>
      </c>
      <c r="F72" s="13"/>
      <c r="G72" s="13"/>
      <c r="H72" s="16"/>
      <c r="I72" s="16"/>
      <c r="J72" s="16"/>
    </row>
    <row r="73" ht="15.75" customHeight="1">
      <c r="A73" s="13" t="s">
        <v>538</v>
      </c>
      <c r="B73" s="13"/>
      <c r="C73" s="13"/>
      <c r="D73" s="28">
        <f t="shared" ref="D73:E73" si="4">(D66-D70)/D66</f>
        <v>0.4489795918</v>
      </c>
      <c r="E73" s="28">
        <f t="shared" si="4"/>
        <v>0.5178571429</v>
      </c>
      <c r="F73" s="13"/>
      <c r="G73" s="13"/>
      <c r="H73" s="16"/>
      <c r="I73" s="16"/>
      <c r="J73" s="16"/>
    </row>
    <row r="74" ht="15.75" customHeight="1">
      <c r="A74" s="13" t="s">
        <v>545</v>
      </c>
      <c r="B74" s="13"/>
      <c r="C74" s="13"/>
      <c r="D74" s="28">
        <f t="shared" ref="D74:E74" si="5">(D66-D71)/D66</f>
        <v>0.4375</v>
      </c>
      <c r="E74" s="28">
        <f t="shared" si="5"/>
        <v>0.5178571429</v>
      </c>
      <c r="F74" s="13"/>
      <c r="G74" s="13"/>
      <c r="H74" s="16"/>
      <c r="I74" s="16"/>
      <c r="J74" s="16"/>
    </row>
    <row r="75" ht="15.75" customHeight="1">
      <c r="A75" s="13" t="s">
        <v>548</v>
      </c>
      <c r="B75" s="13"/>
      <c r="C75" s="13"/>
      <c r="D75" s="28">
        <f t="shared" ref="D75:E75" si="6">(D67-D70)/D67</f>
        <v>0.1413265306</v>
      </c>
      <c r="E75" s="28">
        <f t="shared" si="6"/>
        <v>0.3671875</v>
      </c>
      <c r="F75" s="13"/>
      <c r="G75" s="13"/>
      <c r="H75" s="16"/>
      <c r="I75" s="16"/>
      <c r="J75" s="16"/>
    </row>
    <row r="76" ht="15.75" customHeight="1">
      <c r="A76" s="13" t="s">
        <v>550</v>
      </c>
      <c r="B76" s="13"/>
      <c r="C76" s="13"/>
      <c r="D76" s="28">
        <f t="shared" ref="D76:E76" si="7">(D68-D70)/D68</f>
        <v>0.1554031449</v>
      </c>
      <c r="E76" s="28">
        <f t="shared" si="7"/>
        <v>0.3775614754</v>
      </c>
      <c r="F76" s="13"/>
      <c r="G76" s="13"/>
      <c r="H76" s="16"/>
      <c r="I76" s="16"/>
      <c r="J76" s="16"/>
    </row>
    <row r="77" ht="15.75" customHeight="1">
      <c r="A77" s="13" t="s">
        <v>557</v>
      </c>
      <c r="B77" s="13"/>
      <c r="C77" s="13"/>
      <c r="D77" s="28">
        <f t="shared" ref="D77:E77" si="8">(D69-D70)/D69</f>
        <v>0.1870190699</v>
      </c>
      <c r="E77" s="28">
        <f t="shared" si="8"/>
        <v>0.3775614754</v>
      </c>
      <c r="F77" s="13"/>
      <c r="G77" s="1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ataValidations>
    <dataValidation type="list" allowBlank="1" showDropDown="1" showErrorMessage="1" sqref="A6:A13">
      <formula1>"1KB (1024 chars),2KB (2048 chars)"</formula1>
    </dataValidation>
    <dataValidation type="list" allowBlank="1" showDropDown="1" showErrorMessage="1" sqref="A18:A25">
      <formula1>"1KB (1024 chars),2KB (2048 chars)"</formula1>
    </dataValidation>
    <dataValidation type="list" allowBlank="1" showDropDown="1" showErrorMessage="1" sqref="A30:A37">
      <formula1>"1KB (1024 chars),2KB (2048 chars)"</formula1>
    </dataValidation>
    <dataValidation type="custom" allowBlank="1" showDropDown="1" sqref="B6:B13 B18:B25 B30:B37">
      <formula1>AND(ISNUMBER(B6),(NOT(OR(NOT(ISERROR(DATEVALUE(B6))), AND(ISNUMBER(B6), LEFT(CELL("format", B6))="D")))))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15.14"/>
    <col customWidth="1" min="3" max="3" width="16.57"/>
    <col customWidth="1" min="4" max="4" width="13.71"/>
    <col customWidth="1" min="5" max="5" width="15.14"/>
    <col customWidth="1" min="6" max="6" width="16.57"/>
    <col customWidth="1" min="7" max="8" width="13.71"/>
    <col customWidth="1" min="9" max="9" width="16.57"/>
    <col customWidth="1" min="10" max="11" width="13.71"/>
  </cols>
  <sheetData>
    <row r="1">
      <c r="A1" s="4" t="s">
        <v>11</v>
      </c>
    </row>
    <row r="3">
      <c r="A3" s="6" t="s">
        <v>14</v>
      </c>
    </row>
    <row r="4">
      <c r="A4" s="6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ht="22.5" customHeight="1">
      <c r="A6" s="9" t="s">
        <v>19</v>
      </c>
      <c r="B6" s="9" t="s">
        <v>22</v>
      </c>
      <c r="C6" s="9" t="s">
        <v>26</v>
      </c>
      <c r="D6" s="9" t="s">
        <v>30</v>
      </c>
      <c r="E6" s="9" t="s">
        <v>33</v>
      </c>
      <c r="F6" s="9" t="s">
        <v>35</v>
      </c>
      <c r="G6" s="9" t="s">
        <v>37</v>
      </c>
      <c r="H6" s="9" t="s">
        <v>39</v>
      </c>
      <c r="I6" s="9" t="s">
        <v>40</v>
      </c>
      <c r="J6" s="9" t="s">
        <v>42</v>
      </c>
      <c r="K6" s="9" t="s">
        <v>43</v>
      </c>
    </row>
    <row r="7" ht="22.5" customHeight="1">
      <c r="A7" s="11" t="s">
        <v>41</v>
      </c>
      <c r="B7" s="14">
        <v>1.0</v>
      </c>
      <c r="C7" s="15" t="s">
        <v>50</v>
      </c>
      <c r="D7" s="15" t="s">
        <v>59</v>
      </c>
      <c r="E7" s="15" t="s">
        <v>60</v>
      </c>
      <c r="F7" s="15" t="s">
        <v>52</v>
      </c>
      <c r="G7" s="15" t="s">
        <v>47</v>
      </c>
      <c r="H7" s="15" t="s">
        <v>55</v>
      </c>
      <c r="I7" s="15" t="s">
        <v>57</v>
      </c>
      <c r="J7" s="15" t="s">
        <v>48</v>
      </c>
      <c r="K7" s="15" t="s">
        <v>61</v>
      </c>
    </row>
    <row r="8" ht="22.5" customHeight="1">
      <c r="A8" s="11" t="s">
        <v>41</v>
      </c>
      <c r="B8" s="14">
        <v>4.0</v>
      </c>
      <c r="C8" s="15" t="s">
        <v>68</v>
      </c>
      <c r="D8" s="15" t="s">
        <v>70</v>
      </c>
      <c r="E8" s="15" t="s">
        <v>73</v>
      </c>
      <c r="F8" s="15" t="s">
        <v>75</v>
      </c>
      <c r="G8" s="15" t="s">
        <v>67</v>
      </c>
      <c r="H8" s="15" t="s">
        <v>78</v>
      </c>
      <c r="I8" s="15" t="s">
        <v>79</v>
      </c>
      <c r="J8" s="15" t="s">
        <v>69</v>
      </c>
      <c r="K8" s="15" t="s">
        <v>80</v>
      </c>
    </row>
    <row r="9" ht="22.5" customHeight="1">
      <c r="A9" s="11" t="s">
        <v>41</v>
      </c>
      <c r="B9" s="14">
        <v>8.0</v>
      </c>
      <c r="C9" s="15" t="s">
        <v>83</v>
      </c>
      <c r="D9" s="15" t="s">
        <v>86</v>
      </c>
      <c r="E9" s="15" t="s">
        <v>89</v>
      </c>
      <c r="F9" s="15" t="s">
        <v>92</v>
      </c>
      <c r="G9" s="15" t="s">
        <v>82</v>
      </c>
      <c r="H9" s="15" t="s">
        <v>94</v>
      </c>
      <c r="I9" s="15" t="s">
        <v>95</v>
      </c>
      <c r="J9" s="15" t="s">
        <v>85</v>
      </c>
      <c r="K9" s="15" t="s">
        <v>96</v>
      </c>
    </row>
    <row r="10" ht="22.5" customHeight="1">
      <c r="A10" s="11" t="s">
        <v>41</v>
      </c>
      <c r="B10" s="14">
        <v>16.0</v>
      </c>
      <c r="C10" s="15" t="s">
        <v>104</v>
      </c>
      <c r="D10" s="15" t="s">
        <v>106</v>
      </c>
      <c r="E10" s="15" t="s">
        <v>107</v>
      </c>
      <c r="F10" s="15" t="s">
        <v>109</v>
      </c>
      <c r="G10" s="15" t="s">
        <v>98</v>
      </c>
      <c r="H10" s="15" t="s">
        <v>112</v>
      </c>
      <c r="I10" s="15" t="s">
        <v>114</v>
      </c>
      <c r="J10" s="15" t="s">
        <v>99</v>
      </c>
      <c r="K10" s="15" t="s">
        <v>118</v>
      </c>
    </row>
    <row r="11" ht="22.5" customHeight="1">
      <c r="A11" s="11" t="s">
        <v>110</v>
      </c>
      <c r="B11" s="14">
        <v>1.0</v>
      </c>
      <c r="C11" s="15" t="s">
        <v>121</v>
      </c>
      <c r="D11" s="15" t="s">
        <v>124</v>
      </c>
      <c r="E11" s="15" t="s">
        <v>126</v>
      </c>
      <c r="F11" s="15" t="s">
        <v>130</v>
      </c>
      <c r="G11" s="15" t="s">
        <v>113</v>
      </c>
      <c r="H11" s="15" t="s">
        <v>133</v>
      </c>
      <c r="I11" s="15" t="s">
        <v>135</v>
      </c>
      <c r="J11" s="15" t="s">
        <v>115</v>
      </c>
      <c r="K11" s="15" t="s">
        <v>136</v>
      </c>
    </row>
    <row r="12" ht="22.5" customHeight="1">
      <c r="A12" s="11" t="s">
        <v>110</v>
      </c>
      <c r="B12" s="14">
        <v>4.0</v>
      </c>
      <c r="C12" s="15" t="s">
        <v>142</v>
      </c>
      <c r="D12" s="15" t="s">
        <v>145</v>
      </c>
      <c r="E12" s="15" t="s">
        <v>147</v>
      </c>
      <c r="F12" s="15" t="s">
        <v>149</v>
      </c>
      <c r="G12" s="15" t="s">
        <v>125</v>
      </c>
      <c r="H12" s="15" t="s">
        <v>150</v>
      </c>
      <c r="I12" s="15" t="s">
        <v>151</v>
      </c>
      <c r="J12" s="15" t="s">
        <v>127</v>
      </c>
      <c r="K12" s="15" t="s">
        <v>152</v>
      </c>
    </row>
    <row r="13" ht="22.5" customHeight="1">
      <c r="A13" s="11" t="s">
        <v>110</v>
      </c>
      <c r="B13" s="14">
        <v>8.0</v>
      </c>
      <c r="C13" s="15" t="s">
        <v>160</v>
      </c>
      <c r="D13" s="15" t="s">
        <v>161</v>
      </c>
      <c r="E13" s="15" t="s">
        <v>162</v>
      </c>
      <c r="F13" s="15" t="s">
        <v>164</v>
      </c>
      <c r="G13" s="15" t="s">
        <v>138</v>
      </c>
      <c r="H13" s="15" t="s">
        <v>166</v>
      </c>
      <c r="I13" s="15" t="s">
        <v>167</v>
      </c>
      <c r="J13" s="15" t="s">
        <v>139</v>
      </c>
      <c r="K13" s="15" t="s">
        <v>153</v>
      </c>
    </row>
    <row r="14" ht="22.5" customHeight="1">
      <c r="A14" s="11" t="s">
        <v>110</v>
      </c>
      <c r="B14" s="14">
        <v>16.0</v>
      </c>
      <c r="C14" s="15" t="s">
        <v>169</v>
      </c>
      <c r="D14" s="15" t="s">
        <v>170</v>
      </c>
      <c r="E14" s="15" t="s">
        <v>171</v>
      </c>
      <c r="F14" s="15" t="s">
        <v>173</v>
      </c>
      <c r="G14" s="15" t="s">
        <v>154</v>
      </c>
      <c r="H14" s="15" t="s">
        <v>175</v>
      </c>
      <c r="I14" s="15" t="s">
        <v>176</v>
      </c>
      <c r="J14" s="15" t="s">
        <v>155</v>
      </c>
      <c r="K14" s="15" t="s">
        <v>177</v>
      </c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>
      <c r="A16" s="19" t="s">
        <v>178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ht="22.5" customHeight="1">
      <c r="A19" s="9" t="s">
        <v>19</v>
      </c>
      <c r="B19" s="9" t="s">
        <v>22</v>
      </c>
      <c r="C19" s="9" t="s">
        <v>26</v>
      </c>
      <c r="D19" s="9" t="s">
        <v>30</v>
      </c>
      <c r="E19" s="9" t="s">
        <v>33</v>
      </c>
      <c r="F19" s="9" t="s">
        <v>35</v>
      </c>
      <c r="G19" s="9" t="s">
        <v>37</v>
      </c>
      <c r="H19" s="9" t="s">
        <v>39</v>
      </c>
      <c r="I19" s="9" t="s">
        <v>40</v>
      </c>
      <c r="J19" s="9" t="s">
        <v>42</v>
      </c>
      <c r="K19" s="9" t="s">
        <v>43</v>
      </c>
    </row>
    <row r="20" ht="22.5" customHeight="1">
      <c r="A20" s="11" t="s">
        <v>41</v>
      </c>
      <c r="B20" s="14">
        <v>1.0</v>
      </c>
      <c r="C20" s="15" t="s">
        <v>191</v>
      </c>
      <c r="D20" s="15" t="s">
        <v>193</v>
      </c>
      <c r="E20" s="15" t="s">
        <v>59</v>
      </c>
      <c r="F20" s="15" t="s">
        <v>52</v>
      </c>
      <c r="G20" s="15" t="s">
        <v>47</v>
      </c>
      <c r="H20" s="15" t="s">
        <v>55</v>
      </c>
      <c r="I20" s="15" t="s">
        <v>57</v>
      </c>
      <c r="J20" s="15" t="s">
        <v>48</v>
      </c>
      <c r="K20" s="15" t="s">
        <v>61</v>
      </c>
    </row>
    <row r="21" ht="22.5" customHeight="1">
      <c r="A21" s="11" t="s">
        <v>41</v>
      </c>
      <c r="B21" s="14">
        <v>4.0</v>
      </c>
      <c r="C21" s="15" t="s">
        <v>203</v>
      </c>
      <c r="D21" s="15" t="s">
        <v>207</v>
      </c>
      <c r="E21" s="15" t="s">
        <v>210</v>
      </c>
      <c r="F21" s="15" t="s">
        <v>75</v>
      </c>
      <c r="G21" s="15" t="s">
        <v>67</v>
      </c>
      <c r="H21" s="15" t="s">
        <v>78</v>
      </c>
      <c r="I21" s="15" t="s">
        <v>79</v>
      </c>
      <c r="J21" s="15" t="s">
        <v>69</v>
      </c>
      <c r="K21" s="15" t="s">
        <v>80</v>
      </c>
    </row>
    <row r="22" ht="22.5" customHeight="1">
      <c r="A22" s="11" t="s">
        <v>41</v>
      </c>
      <c r="B22" s="14">
        <v>8.0</v>
      </c>
      <c r="C22" s="15" t="s">
        <v>219</v>
      </c>
      <c r="D22" s="15" t="s">
        <v>220</v>
      </c>
      <c r="E22" s="15" t="s">
        <v>221</v>
      </c>
      <c r="F22" s="15" t="s">
        <v>92</v>
      </c>
      <c r="G22" s="15" t="s">
        <v>82</v>
      </c>
      <c r="H22" s="15" t="s">
        <v>94</v>
      </c>
      <c r="I22" s="15" t="s">
        <v>95</v>
      </c>
      <c r="J22" s="15" t="s">
        <v>85</v>
      </c>
      <c r="K22" s="15" t="s">
        <v>96</v>
      </c>
    </row>
    <row r="23" ht="22.5" customHeight="1">
      <c r="A23" s="11" t="s">
        <v>41</v>
      </c>
      <c r="B23" s="14">
        <v>16.0</v>
      </c>
      <c r="C23" s="15" t="s">
        <v>232</v>
      </c>
      <c r="D23" s="15" t="s">
        <v>235</v>
      </c>
      <c r="E23" s="15" t="s">
        <v>236</v>
      </c>
      <c r="F23" s="15" t="s">
        <v>109</v>
      </c>
      <c r="G23" s="15" t="s">
        <v>98</v>
      </c>
      <c r="H23" s="15" t="s">
        <v>112</v>
      </c>
      <c r="I23" s="15" t="s">
        <v>114</v>
      </c>
      <c r="J23" s="15" t="s">
        <v>99</v>
      </c>
      <c r="K23" s="15" t="s">
        <v>118</v>
      </c>
    </row>
    <row r="24" ht="22.5" customHeight="1">
      <c r="A24" s="11" t="s">
        <v>110</v>
      </c>
      <c r="B24" s="14">
        <v>1.0</v>
      </c>
      <c r="C24" s="15" t="s">
        <v>243</v>
      </c>
      <c r="D24" s="15" t="s">
        <v>195</v>
      </c>
      <c r="E24" s="15" t="s">
        <v>111</v>
      </c>
      <c r="F24" s="15" t="s">
        <v>130</v>
      </c>
      <c r="G24" s="15" t="s">
        <v>113</v>
      </c>
      <c r="H24" s="15" t="s">
        <v>133</v>
      </c>
      <c r="I24" s="15" t="s">
        <v>135</v>
      </c>
      <c r="J24" s="15" t="s">
        <v>115</v>
      </c>
      <c r="K24" s="15" t="s">
        <v>136</v>
      </c>
    </row>
    <row r="25" ht="15.75" customHeight="1">
      <c r="A25" s="11" t="s">
        <v>110</v>
      </c>
      <c r="B25" s="14">
        <v>4.0</v>
      </c>
      <c r="C25" s="15" t="s">
        <v>255</v>
      </c>
      <c r="D25" s="15" t="s">
        <v>209</v>
      </c>
      <c r="E25" s="15" t="s">
        <v>258</v>
      </c>
      <c r="F25" s="15" t="s">
        <v>149</v>
      </c>
      <c r="G25" s="15" t="s">
        <v>125</v>
      </c>
      <c r="H25" s="15" t="s">
        <v>150</v>
      </c>
      <c r="I25" s="15" t="s">
        <v>151</v>
      </c>
      <c r="J25" s="15" t="s">
        <v>127</v>
      </c>
      <c r="K25" s="15" t="s">
        <v>152</v>
      </c>
    </row>
    <row r="26" ht="15.75" customHeight="1">
      <c r="A26" s="11" t="s">
        <v>110</v>
      </c>
      <c r="B26" s="14">
        <v>8.0</v>
      </c>
      <c r="C26" s="15" t="s">
        <v>264</v>
      </c>
      <c r="D26" s="15" t="s">
        <v>221</v>
      </c>
      <c r="E26" s="15" t="s">
        <v>266</v>
      </c>
      <c r="F26" s="15" t="s">
        <v>164</v>
      </c>
      <c r="G26" s="15" t="s">
        <v>138</v>
      </c>
      <c r="H26" s="15" t="s">
        <v>166</v>
      </c>
      <c r="I26" s="15" t="s">
        <v>167</v>
      </c>
      <c r="J26" s="15" t="s">
        <v>139</v>
      </c>
      <c r="K26" s="15" t="s">
        <v>153</v>
      </c>
    </row>
    <row r="27" ht="15.75" customHeight="1">
      <c r="A27" s="11" t="s">
        <v>110</v>
      </c>
      <c r="B27" s="14">
        <v>16.0</v>
      </c>
      <c r="C27" s="15" t="s">
        <v>277</v>
      </c>
      <c r="D27" s="15" t="s">
        <v>281</v>
      </c>
      <c r="E27" s="15" t="s">
        <v>152</v>
      </c>
      <c r="F27" s="15" t="s">
        <v>173</v>
      </c>
      <c r="G27" s="15" t="s">
        <v>154</v>
      </c>
      <c r="H27" s="15" t="s">
        <v>175</v>
      </c>
      <c r="I27" s="15" t="s">
        <v>176</v>
      </c>
      <c r="J27" s="15" t="s">
        <v>155</v>
      </c>
      <c r="K27" s="15" t="s">
        <v>177</v>
      </c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>
      <c r="A29" s="17" t="s">
        <v>292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6"/>
      <c r="K31" s="16"/>
    </row>
    <row r="32" ht="15.75" customHeight="1">
      <c r="A32" s="9" t="s">
        <v>298</v>
      </c>
      <c r="B32" s="9" t="s">
        <v>300</v>
      </c>
      <c r="C32" s="9" t="s">
        <v>301</v>
      </c>
      <c r="D32" s="9" t="s">
        <v>302</v>
      </c>
      <c r="E32" s="9" t="s">
        <v>303</v>
      </c>
      <c r="F32" s="9" t="s">
        <v>305</v>
      </c>
      <c r="G32" s="9" t="s">
        <v>307</v>
      </c>
      <c r="H32" s="9" t="s">
        <v>308</v>
      </c>
      <c r="I32" s="9" t="s">
        <v>310</v>
      </c>
      <c r="J32" s="16"/>
      <c r="K32" s="16"/>
    </row>
    <row r="33" ht="15.75" customHeight="1">
      <c r="A33" s="14">
        <v>100.0</v>
      </c>
      <c r="B33" s="15" t="s">
        <v>316</v>
      </c>
      <c r="C33" s="15" t="s">
        <v>317</v>
      </c>
      <c r="D33" s="15" t="s">
        <v>317</v>
      </c>
      <c r="E33" s="11" t="s">
        <v>320</v>
      </c>
      <c r="F33" s="15">
        <v>100.0</v>
      </c>
      <c r="G33" s="15" t="s">
        <v>325</v>
      </c>
      <c r="H33" s="15" t="s">
        <v>327</v>
      </c>
      <c r="I33" s="11" t="s">
        <v>320</v>
      </c>
      <c r="J33" s="16"/>
      <c r="K33" s="16"/>
    </row>
    <row r="34" ht="15.75" customHeight="1">
      <c r="A34" s="14">
        <v>120.0</v>
      </c>
      <c r="B34" s="15" t="s">
        <v>316</v>
      </c>
      <c r="C34" s="15" t="s">
        <v>317</v>
      </c>
      <c r="D34" s="15" t="s">
        <v>317</v>
      </c>
      <c r="E34" s="11" t="s">
        <v>320</v>
      </c>
      <c r="F34" s="15">
        <v>120.0</v>
      </c>
      <c r="G34" s="15" t="s">
        <v>341</v>
      </c>
      <c r="H34" s="15" t="s">
        <v>343</v>
      </c>
      <c r="I34" s="11" t="s">
        <v>320</v>
      </c>
      <c r="J34" s="16"/>
      <c r="K34" s="16"/>
    </row>
    <row r="35" ht="15.75" customHeight="1">
      <c r="A35" s="14">
        <v>140.0</v>
      </c>
      <c r="B35" s="15" t="s">
        <v>316</v>
      </c>
      <c r="C35" s="15" t="s">
        <v>317</v>
      </c>
      <c r="D35" s="15" t="s">
        <v>317</v>
      </c>
      <c r="E35" s="11" t="s">
        <v>320</v>
      </c>
      <c r="F35" s="15">
        <v>140.0</v>
      </c>
      <c r="G35" s="15" t="s">
        <v>351</v>
      </c>
      <c r="H35" s="15" t="s">
        <v>353</v>
      </c>
      <c r="I35" s="11" t="s">
        <v>320</v>
      </c>
      <c r="J35" s="16"/>
      <c r="K35" s="16"/>
    </row>
    <row r="36" ht="15.75" customHeight="1">
      <c r="A36" s="14">
        <v>160.0</v>
      </c>
      <c r="B36" s="15" t="s">
        <v>316</v>
      </c>
      <c r="C36" s="15" t="s">
        <v>317</v>
      </c>
      <c r="D36" s="15" t="s">
        <v>317</v>
      </c>
      <c r="E36" s="11" t="s">
        <v>320</v>
      </c>
      <c r="F36" s="15">
        <v>160.0</v>
      </c>
      <c r="G36" s="15" t="s">
        <v>366</v>
      </c>
      <c r="H36" s="15" t="s">
        <v>369</v>
      </c>
      <c r="I36" s="11" t="s">
        <v>320</v>
      </c>
      <c r="J36" s="16"/>
      <c r="K36" s="16"/>
    </row>
    <row r="37" ht="15.75" customHeight="1">
      <c r="A37" s="14">
        <v>180.0</v>
      </c>
      <c r="B37" s="15" t="s">
        <v>316</v>
      </c>
      <c r="C37" s="15" t="s">
        <v>317</v>
      </c>
      <c r="D37" s="15" t="s">
        <v>317</v>
      </c>
      <c r="E37" s="11" t="s">
        <v>320</v>
      </c>
      <c r="F37" s="15">
        <v>180.1</v>
      </c>
      <c r="G37" s="15" t="s">
        <v>385</v>
      </c>
      <c r="H37" s="15" t="s">
        <v>388</v>
      </c>
      <c r="I37" s="11" t="s">
        <v>320</v>
      </c>
      <c r="J37" s="16"/>
      <c r="K37" s="16"/>
    </row>
    <row r="38" ht="15.75" customHeight="1">
      <c r="A38" s="14">
        <v>190.0</v>
      </c>
      <c r="B38" s="15" t="s">
        <v>316</v>
      </c>
      <c r="C38" s="15" t="s">
        <v>317</v>
      </c>
      <c r="D38" s="15" t="s">
        <v>317</v>
      </c>
      <c r="E38" s="11" t="s">
        <v>320</v>
      </c>
      <c r="F38" s="15">
        <v>187.8</v>
      </c>
      <c r="G38" s="15" t="s">
        <v>403</v>
      </c>
      <c r="H38" s="15" t="s">
        <v>406</v>
      </c>
      <c r="I38" s="11" t="s">
        <v>408</v>
      </c>
      <c r="J38" s="16"/>
      <c r="K38" s="16"/>
    </row>
    <row r="39" ht="15.75" customHeight="1">
      <c r="A39" s="14">
        <v>200.0</v>
      </c>
      <c r="B39" s="15" t="s">
        <v>316</v>
      </c>
      <c r="C39" s="15" t="s">
        <v>317</v>
      </c>
      <c r="D39" s="15" t="s">
        <v>317</v>
      </c>
      <c r="E39" s="11" t="s">
        <v>320</v>
      </c>
      <c r="F39" s="15">
        <v>189.0</v>
      </c>
      <c r="G39" s="15" t="s">
        <v>426</v>
      </c>
      <c r="H39" s="15" t="s">
        <v>429</v>
      </c>
      <c r="I39" s="11" t="s">
        <v>408</v>
      </c>
      <c r="J39" s="16"/>
      <c r="K39" s="16"/>
    </row>
    <row r="40" ht="15.75" customHeight="1">
      <c r="A40" s="14">
        <v>220.0</v>
      </c>
      <c r="B40" s="15" t="s">
        <v>316</v>
      </c>
      <c r="C40" s="15" t="s">
        <v>317</v>
      </c>
      <c r="D40" s="15" t="s">
        <v>317</v>
      </c>
      <c r="E40" s="11" t="s">
        <v>320</v>
      </c>
      <c r="F40" s="15">
        <v>187.9</v>
      </c>
      <c r="G40" s="15" t="s">
        <v>451</v>
      </c>
      <c r="H40" s="15" t="s">
        <v>454</v>
      </c>
      <c r="I40" s="11" t="s">
        <v>408</v>
      </c>
      <c r="J40" s="16"/>
      <c r="K40" s="16"/>
    </row>
    <row r="41" ht="15.75" customHeight="1">
      <c r="A41" s="14">
        <v>240.0</v>
      </c>
      <c r="B41" s="15" t="s">
        <v>316</v>
      </c>
      <c r="C41" s="15" t="s">
        <v>317</v>
      </c>
      <c r="D41" s="15" t="s">
        <v>317</v>
      </c>
      <c r="E41" s="11" t="s">
        <v>320</v>
      </c>
      <c r="F41" s="15" t="s">
        <v>317</v>
      </c>
      <c r="G41" s="15" t="s">
        <v>317</v>
      </c>
      <c r="H41" s="15" t="s">
        <v>317</v>
      </c>
      <c r="I41" s="11" t="s">
        <v>471</v>
      </c>
      <c r="J41" s="16"/>
      <c r="K41" s="16"/>
    </row>
    <row r="42" ht="15.75" customHeight="1">
      <c r="A42" s="14">
        <v>260.0</v>
      </c>
      <c r="B42" s="15" t="s">
        <v>316</v>
      </c>
      <c r="C42" s="15" t="s">
        <v>317</v>
      </c>
      <c r="D42" s="15" t="s">
        <v>317</v>
      </c>
      <c r="E42" s="11" t="s">
        <v>320</v>
      </c>
      <c r="F42" s="15" t="s">
        <v>317</v>
      </c>
      <c r="G42" s="15" t="s">
        <v>317</v>
      </c>
      <c r="H42" s="15" t="s">
        <v>317</v>
      </c>
      <c r="I42" s="11" t="s">
        <v>471</v>
      </c>
      <c r="J42" s="16"/>
      <c r="K42" s="16"/>
    </row>
    <row r="43" ht="15.75" customHeight="1">
      <c r="A43" s="14">
        <v>280.0</v>
      </c>
      <c r="B43" s="15" t="s">
        <v>316</v>
      </c>
      <c r="C43" s="15" t="s">
        <v>317</v>
      </c>
      <c r="D43" s="15" t="s">
        <v>317</v>
      </c>
      <c r="E43" s="11" t="s">
        <v>320</v>
      </c>
      <c r="F43" s="15" t="s">
        <v>317</v>
      </c>
      <c r="G43" s="15" t="s">
        <v>317</v>
      </c>
      <c r="H43" s="15" t="s">
        <v>317</v>
      </c>
      <c r="I43" s="11" t="s">
        <v>471</v>
      </c>
      <c r="J43" s="16"/>
      <c r="K43" s="16"/>
    </row>
    <row r="44" ht="15.75" customHeight="1">
      <c r="A44" s="14">
        <v>300.0</v>
      </c>
      <c r="B44" s="15" t="s">
        <v>316</v>
      </c>
      <c r="C44" s="15" t="s">
        <v>317</v>
      </c>
      <c r="D44" s="15" t="s">
        <v>317</v>
      </c>
      <c r="E44" s="11" t="s">
        <v>320</v>
      </c>
      <c r="F44" s="15" t="s">
        <v>317</v>
      </c>
      <c r="G44" s="15" t="s">
        <v>317</v>
      </c>
      <c r="H44" s="15" t="s">
        <v>317</v>
      </c>
      <c r="I44" s="11" t="s">
        <v>471</v>
      </c>
      <c r="J44" s="16"/>
      <c r="K44" s="16"/>
    </row>
    <row r="45" ht="15.75" customHeight="1">
      <c r="A45" s="14">
        <v>320.0</v>
      </c>
      <c r="B45" s="15" t="s">
        <v>316</v>
      </c>
      <c r="C45" s="15" t="s">
        <v>317</v>
      </c>
      <c r="D45" s="15" t="s">
        <v>317</v>
      </c>
      <c r="E45" s="11" t="s">
        <v>320</v>
      </c>
      <c r="F45" s="15" t="s">
        <v>317</v>
      </c>
      <c r="G45" s="15" t="s">
        <v>317</v>
      </c>
      <c r="H45" s="15" t="s">
        <v>317</v>
      </c>
      <c r="I45" s="11" t="s">
        <v>471</v>
      </c>
      <c r="J45" s="16"/>
      <c r="K45" s="16"/>
    </row>
    <row r="46" ht="15.75" customHeight="1">
      <c r="A46" s="14">
        <v>340.0</v>
      </c>
      <c r="B46" s="15" t="s">
        <v>316</v>
      </c>
      <c r="C46" s="15" t="s">
        <v>317</v>
      </c>
      <c r="D46" s="15" t="s">
        <v>317</v>
      </c>
      <c r="E46" s="11" t="s">
        <v>320</v>
      </c>
      <c r="F46" s="15" t="s">
        <v>317</v>
      </c>
      <c r="G46" s="15" t="s">
        <v>317</v>
      </c>
      <c r="H46" s="15" t="s">
        <v>317</v>
      </c>
      <c r="I46" s="11" t="s">
        <v>471</v>
      </c>
      <c r="J46" s="16"/>
      <c r="K46" s="16"/>
    </row>
    <row r="47" ht="15.75" customHeight="1">
      <c r="A47" s="14">
        <v>360.0</v>
      </c>
      <c r="B47" s="15" t="s">
        <v>316</v>
      </c>
      <c r="C47" s="15" t="s">
        <v>317</v>
      </c>
      <c r="D47" s="15" t="s">
        <v>317</v>
      </c>
      <c r="E47" s="11" t="s">
        <v>320</v>
      </c>
      <c r="F47" s="15" t="s">
        <v>317</v>
      </c>
      <c r="G47" s="15" t="s">
        <v>317</v>
      </c>
      <c r="H47" s="15" t="s">
        <v>317</v>
      </c>
      <c r="I47" s="11" t="s">
        <v>471</v>
      </c>
      <c r="J47" s="16"/>
      <c r="K47" s="16"/>
    </row>
    <row r="48" ht="15.75" customHeight="1">
      <c r="A48" s="14">
        <v>380.0</v>
      </c>
      <c r="B48" s="15" t="s">
        <v>316</v>
      </c>
      <c r="C48" s="15" t="s">
        <v>317</v>
      </c>
      <c r="D48" s="15" t="s">
        <v>317</v>
      </c>
      <c r="E48" s="11" t="s">
        <v>320</v>
      </c>
      <c r="F48" s="15" t="s">
        <v>317</v>
      </c>
      <c r="G48" s="15" t="s">
        <v>317</v>
      </c>
      <c r="H48" s="15" t="s">
        <v>317</v>
      </c>
      <c r="I48" s="11" t="s">
        <v>471</v>
      </c>
      <c r="J48" s="16"/>
      <c r="K48" s="16"/>
    </row>
    <row r="49" ht="15.75" customHeight="1">
      <c r="A49" s="14">
        <v>400.0</v>
      </c>
      <c r="B49" s="15" t="s">
        <v>316</v>
      </c>
      <c r="C49" s="15" t="s">
        <v>317</v>
      </c>
      <c r="D49" s="15" t="s">
        <v>317</v>
      </c>
      <c r="E49" s="11" t="s">
        <v>320</v>
      </c>
      <c r="F49" s="15" t="s">
        <v>317</v>
      </c>
      <c r="G49" s="15" t="s">
        <v>317</v>
      </c>
      <c r="H49" s="15" t="s">
        <v>317</v>
      </c>
      <c r="I49" s="11" t="s">
        <v>471</v>
      </c>
      <c r="J49" s="16"/>
      <c r="K49" s="16"/>
    </row>
    <row r="50" ht="15.75" customHeight="1">
      <c r="A50" s="14">
        <v>420.0</v>
      </c>
      <c r="B50" s="15" t="s">
        <v>316</v>
      </c>
      <c r="C50" s="15" t="s">
        <v>317</v>
      </c>
      <c r="D50" s="15" t="s">
        <v>317</v>
      </c>
      <c r="E50" s="11" t="s">
        <v>320</v>
      </c>
      <c r="F50" s="15" t="s">
        <v>317</v>
      </c>
      <c r="G50" s="15" t="s">
        <v>317</v>
      </c>
      <c r="H50" s="15" t="s">
        <v>317</v>
      </c>
      <c r="I50" s="11" t="s">
        <v>471</v>
      </c>
      <c r="J50" s="16"/>
      <c r="K50" s="16"/>
    </row>
    <row r="51" ht="15.75" customHeight="1">
      <c r="A51" s="14">
        <v>440.0</v>
      </c>
      <c r="B51" s="15" t="s">
        <v>316</v>
      </c>
      <c r="C51" s="15" t="s">
        <v>317</v>
      </c>
      <c r="D51" s="15" t="s">
        <v>317</v>
      </c>
      <c r="E51" s="11" t="s">
        <v>320</v>
      </c>
      <c r="F51" s="15" t="s">
        <v>317</v>
      </c>
      <c r="G51" s="15" t="s">
        <v>317</v>
      </c>
      <c r="H51" s="15" t="s">
        <v>317</v>
      </c>
      <c r="I51" s="11" t="s">
        <v>471</v>
      </c>
      <c r="J51" s="16"/>
      <c r="K51" s="16"/>
    </row>
    <row r="52" ht="15.75" customHeight="1">
      <c r="A52" s="14">
        <v>460.0</v>
      </c>
      <c r="B52" s="15" t="s">
        <v>316</v>
      </c>
      <c r="C52" s="15" t="s">
        <v>317</v>
      </c>
      <c r="D52" s="15" t="s">
        <v>317</v>
      </c>
      <c r="E52" s="11" t="s">
        <v>320</v>
      </c>
      <c r="F52" s="15" t="s">
        <v>317</v>
      </c>
      <c r="G52" s="15" t="s">
        <v>317</v>
      </c>
      <c r="H52" s="15" t="s">
        <v>317</v>
      </c>
      <c r="I52" s="11" t="s">
        <v>471</v>
      </c>
      <c r="J52" s="16"/>
      <c r="K52" s="16"/>
    </row>
    <row r="53" ht="15.75" customHeight="1">
      <c r="A53" s="14">
        <v>480.0</v>
      </c>
      <c r="B53" s="15">
        <v>480.3</v>
      </c>
      <c r="C53" s="15" t="s">
        <v>504</v>
      </c>
      <c r="D53" s="15" t="s">
        <v>565</v>
      </c>
      <c r="E53" s="11" t="s">
        <v>320</v>
      </c>
      <c r="F53" s="15" t="s">
        <v>317</v>
      </c>
      <c r="G53" s="15" t="s">
        <v>317</v>
      </c>
      <c r="H53" s="15" t="s">
        <v>317</v>
      </c>
      <c r="I53" s="11" t="s">
        <v>471</v>
      </c>
      <c r="J53" s="16"/>
      <c r="K53" s="16"/>
    </row>
    <row r="54" ht="15.75" customHeight="1">
      <c r="A54" s="14">
        <v>490.0</v>
      </c>
      <c r="B54" s="15" t="s">
        <v>316</v>
      </c>
      <c r="C54" s="15" t="s">
        <v>317</v>
      </c>
      <c r="D54" s="15" t="s">
        <v>317</v>
      </c>
      <c r="E54" s="11" t="s">
        <v>320</v>
      </c>
      <c r="F54" s="15" t="s">
        <v>317</v>
      </c>
      <c r="G54" s="15" t="s">
        <v>317</v>
      </c>
      <c r="H54" s="15" t="s">
        <v>317</v>
      </c>
      <c r="I54" s="11" t="s">
        <v>471</v>
      </c>
      <c r="J54" s="16"/>
      <c r="K54" s="16"/>
    </row>
    <row r="55" ht="15.75" customHeight="1">
      <c r="A55" s="14">
        <v>500.0</v>
      </c>
      <c r="B55" s="15">
        <v>500.66</v>
      </c>
      <c r="C55" s="15" t="s">
        <v>351</v>
      </c>
      <c r="D55" s="15" t="s">
        <v>369</v>
      </c>
      <c r="E55" s="11" t="s">
        <v>320</v>
      </c>
      <c r="F55" s="15" t="s">
        <v>317</v>
      </c>
      <c r="G55" s="15" t="s">
        <v>317</v>
      </c>
      <c r="H55" s="15" t="s">
        <v>317</v>
      </c>
      <c r="I55" s="11" t="s">
        <v>471</v>
      </c>
      <c r="J55" s="16"/>
      <c r="K55" s="16"/>
    </row>
    <row r="56" ht="15.75" customHeight="1">
      <c r="A56" s="14">
        <v>510.0</v>
      </c>
      <c r="B56" s="15">
        <v>510.37</v>
      </c>
      <c r="C56" s="15" t="s">
        <v>587</v>
      </c>
      <c r="D56" s="15" t="s">
        <v>589</v>
      </c>
      <c r="E56" s="11" t="s">
        <v>320</v>
      </c>
      <c r="F56" s="15" t="s">
        <v>317</v>
      </c>
      <c r="G56" s="15" t="s">
        <v>317</v>
      </c>
      <c r="H56" s="15" t="s">
        <v>317</v>
      </c>
      <c r="I56" s="11" t="s">
        <v>471</v>
      </c>
      <c r="J56" s="16"/>
      <c r="K56" s="16"/>
    </row>
    <row r="57" ht="15.75" customHeight="1">
      <c r="A57" s="14">
        <v>520.0</v>
      </c>
      <c r="B57" s="15">
        <v>520.39</v>
      </c>
      <c r="C57" s="15" t="s">
        <v>513</v>
      </c>
      <c r="D57" s="15" t="s">
        <v>596</v>
      </c>
      <c r="E57" s="11" t="s">
        <v>320</v>
      </c>
      <c r="F57" s="15" t="s">
        <v>317</v>
      </c>
      <c r="G57" s="15" t="s">
        <v>317</v>
      </c>
      <c r="H57" s="15" t="s">
        <v>317</v>
      </c>
      <c r="I57" s="11" t="s">
        <v>471</v>
      </c>
      <c r="J57" s="16"/>
      <c r="K57" s="16"/>
    </row>
    <row r="58" ht="15.75" customHeight="1">
      <c r="A58" s="14">
        <v>530.0</v>
      </c>
      <c r="B58" s="15">
        <v>530.35</v>
      </c>
      <c r="C58" s="15" t="s">
        <v>525</v>
      </c>
      <c r="D58" s="15" t="s">
        <v>597</v>
      </c>
      <c r="E58" s="11" t="s">
        <v>320</v>
      </c>
      <c r="F58" s="15" t="s">
        <v>317</v>
      </c>
      <c r="G58" s="15" t="s">
        <v>317</v>
      </c>
      <c r="H58" s="15" t="s">
        <v>317</v>
      </c>
      <c r="I58" s="11" t="s">
        <v>471</v>
      </c>
      <c r="J58" s="16"/>
      <c r="K58" s="16"/>
    </row>
    <row r="59" ht="15.75" customHeight="1">
      <c r="A59" s="14">
        <v>540.0</v>
      </c>
      <c r="B59" s="15">
        <v>540.57</v>
      </c>
      <c r="C59" s="15" t="s">
        <v>610</v>
      </c>
      <c r="D59" s="15" t="s">
        <v>612</v>
      </c>
      <c r="E59" s="11" t="s">
        <v>408</v>
      </c>
      <c r="F59" s="15" t="s">
        <v>317</v>
      </c>
      <c r="G59" s="15" t="s">
        <v>317</v>
      </c>
      <c r="H59" s="15" t="s">
        <v>317</v>
      </c>
      <c r="I59" s="11" t="s">
        <v>471</v>
      </c>
      <c r="J59" s="16"/>
      <c r="K59" s="16"/>
    </row>
    <row r="60" ht="15.75" customHeight="1">
      <c r="A60" s="14">
        <v>550.0</v>
      </c>
      <c r="B60" s="15">
        <v>546.4</v>
      </c>
      <c r="C60" s="15" t="s">
        <v>618</v>
      </c>
      <c r="D60" s="15" t="s">
        <v>619</v>
      </c>
      <c r="E60" s="11" t="s">
        <v>408</v>
      </c>
      <c r="F60" s="15" t="s">
        <v>317</v>
      </c>
      <c r="G60" s="15" t="s">
        <v>317</v>
      </c>
      <c r="H60" s="15" t="s">
        <v>317</v>
      </c>
      <c r="I60" s="11" t="s">
        <v>471</v>
      </c>
      <c r="J60" s="16"/>
      <c r="K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17" t="s">
        <v>620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6"/>
      <c r="K63" s="16"/>
    </row>
    <row r="64" ht="15.75" customHeight="1">
      <c r="A64" s="9" t="s">
        <v>298</v>
      </c>
      <c r="B64" s="9" t="s">
        <v>300</v>
      </c>
      <c r="C64" s="9" t="s">
        <v>301</v>
      </c>
      <c r="D64" s="9" t="s">
        <v>302</v>
      </c>
      <c r="E64" s="9" t="s">
        <v>303</v>
      </c>
      <c r="F64" s="9" t="s">
        <v>305</v>
      </c>
      <c r="G64" s="9" t="s">
        <v>307</v>
      </c>
      <c r="H64" s="9" t="s">
        <v>308</v>
      </c>
      <c r="I64" s="9" t="s">
        <v>310</v>
      </c>
      <c r="J64" s="16"/>
      <c r="K64" s="16"/>
    </row>
    <row r="65" ht="15.75" customHeight="1">
      <c r="A65" s="14">
        <v>90.0</v>
      </c>
      <c r="B65" s="15" t="s">
        <v>637</v>
      </c>
      <c r="C65" s="15" t="s">
        <v>317</v>
      </c>
      <c r="D65" s="15" t="s">
        <v>317</v>
      </c>
      <c r="E65" s="11" t="s">
        <v>320</v>
      </c>
      <c r="F65" s="11">
        <v>90.0</v>
      </c>
      <c r="G65" s="11" t="s">
        <v>635</v>
      </c>
      <c r="H65" s="11" t="s">
        <v>636</v>
      </c>
      <c r="I65" s="11" t="s">
        <v>320</v>
      </c>
      <c r="J65" s="16"/>
      <c r="K65" s="16"/>
    </row>
    <row r="66" ht="15.75" customHeight="1">
      <c r="A66" s="14">
        <v>95.0</v>
      </c>
      <c r="B66" s="15" t="s">
        <v>637</v>
      </c>
      <c r="C66" s="15" t="s">
        <v>317</v>
      </c>
      <c r="D66" s="15" t="s">
        <v>317</v>
      </c>
      <c r="E66" s="11" t="s">
        <v>320</v>
      </c>
      <c r="F66" s="11">
        <v>94.75</v>
      </c>
      <c r="G66" s="11" t="s">
        <v>641</v>
      </c>
      <c r="H66" s="11" t="s">
        <v>642</v>
      </c>
      <c r="I66" s="11" t="s">
        <v>408</v>
      </c>
      <c r="J66" s="16"/>
      <c r="K66" s="16"/>
    </row>
    <row r="67" ht="15.75" customHeight="1">
      <c r="A67" s="14">
        <v>100.0</v>
      </c>
      <c r="B67" s="15" t="s">
        <v>637</v>
      </c>
      <c r="C67" s="15" t="s">
        <v>317</v>
      </c>
      <c r="D67" s="15" t="s">
        <v>317</v>
      </c>
      <c r="E67" s="11" t="s">
        <v>320</v>
      </c>
      <c r="F67" s="11">
        <v>96.32</v>
      </c>
      <c r="G67" s="11" t="s">
        <v>644</v>
      </c>
      <c r="H67" s="11" t="s">
        <v>645</v>
      </c>
      <c r="I67" s="11" t="s">
        <v>408</v>
      </c>
      <c r="J67" s="16"/>
      <c r="K67" s="16"/>
    </row>
    <row r="68" ht="15.75" customHeight="1">
      <c r="A68" s="14">
        <v>110.0</v>
      </c>
      <c r="B68" s="15" t="s">
        <v>637</v>
      </c>
      <c r="C68" s="15" t="s">
        <v>317</v>
      </c>
      <c r="D68" s="15" t="s">
        <v>317</v>
      </c>
      <c r="E68" s="11" t="s">
        <v>320</v>
      </c>
      <c r="F68" s="11">
        <v>96.74</v>
      </c>
      <c r="G68" s="11" t="s">
        <v>651</v>
      </c>
      <c r="H68" s="11" t="s">
        <v>652</v>
      </c>
      <c r="I68" s="11" t="s">
        <v>408</v>
      </c>
      <c r="J68" s="16"/>
      <c r="K68" s="16"/>
    </row>
    <row r="69" ht="15.75" customHeight="1">
      <c r="A69" s="14">
        <v>120.0</v>
      </c>
      <c r="B69" s="15" t="s">
        <v>637</v>
      </c>
      <c r="C69" s="15" t="s">
        <v>317</v>
      </c>
      <c r="D69" s="15" t="s">
        <v>317</v>
      </c>
      <c r="E69" s="11" t="s">
        <v>320</v>
      </c>
      <c r="F69" s="11" t="s">
        <v>317</v>
      </c>
      <c r="G69" s="11" t="s">
        <v>317</v>
      </c>
      <c r="H69" s="11" t="s">
        <v>317</v>
      </c>
      <c r="I69" s="11" t="s">
        <v>656</v>
      </c>
      <c r="J69" s="16"/>
      <c r="K69" s="16"/>
    </row>
    <row r="70" ht="15.75" customHeight="1">
      <c r="A70" s="14">
        <v>130.0</v>
      </c>
      <c r="B70" s="15" t="s">
        <v>637</v>
      </c>
      <c r="C70" s="15" t="s">
        <v>317</v>
      </c>
      <c r="D70" s="15" t="s">
        <v>317</v>
      </c>
      <c r="E70" s="11" t="s">
        <v>320</v>
      </c>
      <c r="F70" s="11" t="s">
        <v>317</v>
      </c>
      <c r="G70" s="11" t="s">
        <v>317</v>
      </c>
      <c r="H70" s="11" t="s">
        <v>317</v>
      </c>
      <c r="I70" s="11" t="s">
        <v>656</v>
      </c>
      <c r="J70" s="16"/>
      <c r="K70" s="16"/>
    </row>
    <row r="71" ht="15.75" customHeight="1">
      <c r="A71" s="14">
        <v>140.0</v>
      </c>
      <c r="B71" s="15" t="s">
        <v>637</v>
      </c>
      <c r="C71" s="15" t="s">
        <v>317</v>
      </c>
      <c r="D71" s="15" t="s">
        <v>317</v>
      </c>
      <c r="E71" s="11" t="s">
        <v>320</v>
      </c>
      <c r="F71" s="11" t="s">
        <v>317</v>
      </c>
      <c r="G71" s="11" t="s">
        <v>317</v>
      </c>
      <c r="H71" s="11" t="s">
        <v>317</v>
      </c>
      <c r="I71" s="11" t="s">
        <v>656</v>
      </c>
      <c r="J71" s="16"/>
      <c r="K71" s="16"/>
    </row>
    <row r="72" ht="15.75" customHeight="1">
      <c r="A72" s="14">
        <v>150.0</v>
      </c>
      <c r="B72" s="15" t="s">
        <v>637</v>
      </c>
      <c r="C72" s="15" t="s">
        <v>317</v>
      </c>
      <c r="D72" s="15" t="s">
        <v>317</v>
      </c>
      <c r="E72" s="11" t="s">
        <v>320</v>
      </c>
      <c r="F72" s="11" t="s">
        <v>317</v>
      </c>
      <c r="G72" s="11" t="s">
        <v>317</v>
      </c>
      <c r="H72" s="11" t="s">
        <v>317</v>
      </c>
      <c r="I72" s="11" t="s">
        <v>656</v>
      </c>
      <c r="J72" s="16"/>
      <c r="K72" s="16"/>
    </row>
    <row r="73" ht="15.75" customHeight="1">
      <c r="A73" s="14">
        <v>160.0</v>
      </c>
      <c r="B73" s="15" t="s">
        <v>637</v>
      </c>
      <c r="C73" s="15" t="s">
        <v>317</v>
      </c>
      <c r="D73" s="15" t="s">
        <v>317</v>
      </c>
      <c r="E73" s="11" t="s">
        <v>320</v>
      </c>
      <c r="F73" s="11" t="s">
        <v>317</v>
      </c>
      <c r="G73" s="11" t="s">
        <v>317</v>
      </c>
      <c r="H73" s="11" t="s">
        <v>317</v>
      </c>
      <c r="I73" s="11" t="s">
        <v>656</v>
      </c>
      <c r="J73" s="16"/>
      <c r="K73" s="16"/>
    </row>
    <row r="74" ht="15.75" customHeight="1">
      <c r="A74" s="14">
        <v>170.0</v>
      </c>
      <c r="B74" s="15" t="s">
        <v>637</v>
      </c>
      <c r="C74" s="15" t="s">
        <v>317</v>
      </c>
      <c r="D74" s="15" t="s">
        <v>317</v>
      </c>
      <c r="E74" s="11" t="s">
        <v>320</v>
      </c>
      <c r="F74" s="11" t="s">
        <v>317</v>
      </c>
      <c r="G74" s="11" t="s">
        <v>317</v>
      </c>
      <c r="H74" s="11" t="s">
        <v>317</v>
      </c>
      <c r="I74" s="11" t="s">
        <v>656</v>
      </c>
      <c r="J74" s="16"/>
      <c r="K74" s="16"/>
    </row>
    <row r="75" ht="15.75" customHeight="1">
      <c r="A75" s="14">
        <v>180.0</v>
      </c>
      <c r="B75" s="15" t="s">
        <v>637</v>
      </c>
      <c r="C75" s="15" t="s">
        <v>317</v>
      </c>
      <c r="D75" s="15" t="s">
        <v>317</v>
      </c>
      <c r="E75" s="11" t="s">
        <v>320</v>
      </c>
      <c r="F75" s="11" t="s">
        <v>317</v>
      </c>
      <c r="G75" s="11" t="s">
        <v>317</v>
      </c>
      <c r="H75" s="11" t="s">
        <v>317</v>
      </c>
      <c r="I75" s="11" t="s">
        <v>656</v>
      </c>
      <c r="J75" s="16"/>
      <c r="K75" s="16"/>
    </row>
    <row r="76" ht="15.75" customHeight="1">
      <c r="A76" s="14">
        <v>190.0</v>
      </c>
      <c r="B76" s="15" t="s">
        <v>637</v>
      </c>
      <c r="C76" s="15" t="s">
        <v>317</v>
      </c>
      <c r="D76" s="15" t="s">
        <v>317</v>
      </c>
      <c r="E76" s="11" t="s">
        <v>320</v>
      </c>
      <c r="F76" s="11" t="s">
        <v>317</v>
      </c>
      <c r="G76" s="11" t="s">
        <v>317</v>
      </c>
      <c r="H76" s="11" t="s">
        <v>317</v>
      </c>
      <c r="I76" s="11" t="s">
        <v>656</v>
      </c>
      <c r="J76" s="16"/>
      <c r="K76" s="16"/>
    </row>
    <row r="77" ht="15.75" customHeight="1">
      <c r="A77" s="14">
        <v>200.0</v>
      </c>
      <c r="B77" s="15" t="s">
        <v>637</v>
      </c>
      <c r="C77" s="15" t="s">
        <v>317</v>
      </c>
      <c r="D77" s="15" t="s">
        <v>317</v>
      </c>
      <c r="E77" s="11" t="s">
        <v>320</v>
      </c>
      <c r="F77" s="11" t="s">
        <v>317</v>
      </c>
      <c r="G77" s="11" t="s">
        <v>317</v>
      </c>
      <c r="H77" s="11" t="s">
        <v>317</v>
      </c>
      <c r="I77" s="11" t="s">
        <v>656</v>
      </c>
      <c r="J77" s="16"/>
      <c r="K77" s="16"/>
    </row>
    <row r="78" ht="15.75" customHeight="1">
      <c r="A78" s="14">
        <v>220.0</v>
      </c>
      <c r="B78" s="15" t="s">
        <v>637</v>
      </c>
      <c r="C78" s="15" t="s">
        <v>317</v>
      </c>
      <c r="D78" s="15" t="s">
        <v>317</v>
      </c>
      <c r="E78" s="11" t="s">
        <v>320</v>
      </c>
      <c r="F78" s="11" t="s">
        <v>317</v>
      </c>
      <c r="G78" s="11" t="s">
        <v>317</v>
      </c>
      <c r="H78" s="11" t="s">
        <v>317</v>
      </c>
      <c r="I78" s="11" t="s">
        <v>656</v>
      </c>
      <c r="J78" s="16"/>
      <c r="K78" s="16"/>
    </row>
    <row r="79" ht="15.75" customHeight="1">
      <c r="A79" s="14">
        <v>240.0</v>
      </c>
      <c r="B79" s="15" t="s">
        <v>637</v>
      </c>
      <c r="C79" s="15" t="s">
        <v>317</v>
      </c>
      <c r="D79" s="15" t="s">
        <v>317</v>
      </c>
      <c r="E79" s="11" t="s">
        <v>320</v>
      </c>
      <c r="F79" s="11" t="s">
        <v>317</v>
      </c>
      <c r="G79" s="11" t="s">
        <v>317</v>
      </c>
      <c r="H79" s="11" t="s">
        <v>317</v>
      </c>
      <c r="I79" s="11" t="s">
        <v>656</v>
      </c>
      <c r="J79" s="16"/>
      <c r="K79" s="16"/>
    </row>
    <row r="80" ht="15.75" customHeight="1">
      <c r="A80" s="14">
        <v>260.0</v>
      </c>
      <c r="B80" s="15" t="s">
        <v>637</v>
      </c>
      <c r="C80" s="15" t="s">
        <v>317</v>
      </c>
      <c r="D80" s="15" t="s">
        <v>317</v>
      </c>
      <c r="E80" s="11" t="s">
        <v>320</v>
      </c>
      <c r="F80" s="11" t="s">
        <v>317</v>
      </c>
      <c r="G80" s="11" t="s">
        <v>317</v>
      </c>
      <c r="H80" s="11" t="s">
        <v>317</v>
      </c>
      <c r="I80" s="11" t="s">
        <v>656</v>
      </c>
      <c r="J80" s="16"/>
      <c r="K80" s="16"/>
    </row>
    <row r="81" ht="15.75" customHeight="1">
      <c r="A81" s="14">
        <v>280.0</v>
      </c>
      <c r="B81" s="15">
        <v>280.16</v>
      </c>
      <c r="C81" s="15" t="s">
        <v>678</v>
      </c>
      <c r="D81" s="15" t="s">
        <v>679</v>
      </c>
      <c r="E81" s="11" t="s">
        <v>320</v>
      </c>
      <c r="F81" s="11" t="s">
        <v>317</v>
      </c>
      <c r="G81" s="11" t="s">
        <v>317</v>
      </c>
      <c r="H81" s="11" t="s">
        <v>317</v>
      </c>
      <c r="I81" s="11" t="s">
        <v>656</v>
      </c>
      <c r="J81" s="16"/>
      <c r="K81" s="16"/>
    </row>
    <row r="82" ht="15.75" customHeight="1">
      <c r="A82" s="14">
        <v>300.0</v>
      </c>
      <c r="B82" s="15">
        <v>300.14</v>
      </c>
      <c r="C82" s="15" t="s">
        <v>682</v>
      </c>
      <c r="D82" s="15" t="s">
        <v>683</v>
      </c>
      <c r="E82" s="11" t="s">
        <v>320</v>
      </c>
      <c r="F82" s="11" t="s">
        <v>317</v>
      </c>
      <c r="G82" s="11" t="s">
        <v>317</v>
      </c>
      <c r="H82" s="11" t="s">
        <v>317</v>
      </c>
      <c r="I82" s="11" t="s">
        <v>656</v>
      </c>
      <c r="J82" s="16"/>
      <c r="K82" s="16"/>
    </row>
    <row r="83" ht="15.75" customHeight="1">
      <c r="A83" s="14">
        <v>310.0</v>
      </c>
      <c r="B83" s="15" t="s">
        <v>686</v>
      </c>
      <c r="C83" s="15" t="s">
        <v>317</v>
      </c>
      <c r="D83" s="15" t="s">
        <v>317</v>
      </c>
      <c r="E83" s="11" t="s">
        <v>320</v>
      </c>
      <c r="F83" s="11" t="s">
        <v>317</v>
      </c>
      <c r="G83" s="11" t="s">
        <v>317</v>
      </c>
      <c r="H83" s="11" t="s">
        <v>317</v>
      </c>
      <c r="I83" s="11" t="s">
        <v>656</v>
      </c>
      <c r="J83" s="16"/>
      <c r="K83" s="16"/>
    </row>
    <row r="84" ht="15.75" customHeight="1">
      <c r="A84" s="14">
        <v>320.0</v>
      </c>
      <c r="B84" s="15">
        <v>320.14</v>
      </c>
      <c r="C84" s="15" t="s">
        <v>587</v>
      </c>
      <c r="D84" s="15" t="s">
        <v>685</v>
      </c>
      <c r="E84" s="11" t="s">
        <v>320</v>
      </c>
      <c r="F84" s="11" t="s">
        <v>317</v>
      </c>
      <c r="G84" s="11" t="s">
        <v>317</v>
      </c>
      <c r="H84" s="11" t="s">
        <v>317</v>
      </c>
      <c r="I84" s="11" t="s">
        <v>656</v>
      </c>
      <c r="J84" s="16"/>
      <c r="K84" s="16"/>
    </row>
    <row r="85" ht="15.75" customHeight="1">
      <c r="A85" s="14">
        <v>330.0</v>
      </c>
      <c r="B85" s="15" t="s">
        <v>686</v>
      </c>
      <c r="C85" s="15" t="s">
        <v>317</v>
      </c>
      <c r="D85" s="15" t="s">
        <v>317</v>
      </c>
      <c r="E85" s="11" t="s">
        <v>320</v>
      </c>
      <c r="F85" s="11" t="s">
        <v>317</v>
      </c>
      <c r="G85" s="11" t="s">
        <v>317</v>
      </c>
      <c r="H85" s="11" t="s">
        <v>317</v>
      </c>
      <c r="I85" s="11" t="s">
        <v>656</v>
      </c>
      <c r="J85" s="16"/>
      <c r="K85" s="16"/>
    </row>
    <row r="86" ht="15.75" customHeight="1">
      <c r="A86" s="14">
        <v>340.0</v>
      </c>
      <c r="B86" s="15">
        <v>340.18</v>
      </c>
      <c r="C86" s="15" t="s">
        <v>671</v>
      </c>
      <c r="D86" s="15" t="s">
        <v>693</v>
      </c>
      <c r="E86" s="11" t="s">
        <v>320</v>
      </c>
      <c r="F86" s="11" t="s">
        <v>317</v>
      </c>
      <c r="G86" s="11" t="s">
        <v>317</v>
      </c>
      <c r="H86" s="11" t="s">
        <v>317</v>
      </c>
      <c r="I86" s="11" t="s">
        <v>656</v>
      </c>
      <c r="J86" s="16"/>
      <c r="K86" s="16"/>
    </row>
    <row r="87" ht="15.75" customHeight="1">
      <c r="A87" s="14">
        <v>350.0</v>
      </c>
      <c r="B87" s="15">
        <v>350.2</v>
      </c>
      <c r="C87" s="15" t="s">
        <v>697</v>
      </c>
      <c r="D87" s="15" t="s">
        <v>698</v>
      </c>
      <c r="E87" s="11" t="s">
        <v>320</v>
      </c>
      <c r="F87" s="11" t="s">
        <v>317</v>
      </c>
      <c r="G87" s="11" t="s">
        <v>317</v>
      </c>
      <c r="H87" s="11" t="s">
        <v>317</v>
      </c>
      <c r="I87" s="11" t="s">
        <v>656</v>
      </c>
      <c r="J87" s="16"/>
      <c r="K87" s="16"/>
    </row>
    <row r="88" ht="15.75" customHeight="1">
      <c r="A88" s="14">
        <v>360.0</v>
      </c>
      <c r="B88" s="15">
        <v>359.88</v>
      </c>
      <c r="C88" s="15" t="s">
        <v>580</v>
      </c>
      <c r="D88" s="15" t="s">
        <v>702</v>
      </c>
      <c r="E88" s="11" t="s">
        <v>408</v>
      </c>
      <c r="F88" s="11" t="s">
        <v>317</v>
      </c>
      <c r="G88" s="11" t="s">
        <v>317</v>
      </c>
      <c r="H88" s="11" t="s">
        <v>317</v>
      </c>
      <c r="I88" s="11" t="s">
        <v>656</v>
      </c>
      <c r="J88" s="16"/>
      <c r="K88" s="16"/>
    </row>
    <row r="89" ht="15.75" customHeight="1">
      <c r="A89" s="14">
        <v>370.0</v>
      </c>
      <c r="B89" s="15">
        <v>370.17</v>
      </c>
      <c r="C89" s="15" t="s">
        <v>703</v>
      </c>
      <c r="D89" s="15" t="s">
        <v>704</v>
      </c>
      <c r="E89" s="11" t="s">
        <v>408</v>
      </c>
      <c r="F89" s="11" t="s">
        <v>317</v>
      </c>
      <c r="G89" s="11" t="s">
        <v>317</v>
      </c>
      <c r="H89" s="11" t="s">
        <v>317</v>
      </c>
      <c r="I89" s="11" t="s">
        <v>656</v>
      </c>
      <c r="J89" s="16"/>
      <c r="K89" s="1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dataValidations>
    <dataValidation type="list" allowBlank="1" showDropDown="1" showErrorMessage="1" sqref="G65:G89">
      <formula1>"17.2 ms,218.6 ms,1031 ms,3208 ms,—"</formula1>
    </dataValidation>
    <dataValidation type="list" allowBlank="1" showDropDown="1" showErrorMessage="1" sqref="A7:A14">
      <formula1>"1KB (1024 chars),2KB (2048 chars)"</formula1>
    </dataValidation>
    <dataValidation type="list" allowBlank="1" showDropDown="1" showErrorMessage="1" sqref="F65:F89">
      <formula1>"90,94.75,96.32,96.74,—"</formula1>
    </dataValidation>
    <dataValidation type="list" allowBlank="1" showDropDown="1" showErrorMessage="1" sqref="E65:E89">
      <formula1>"PASS,SATURATED"</formula1>
    </dataValidation>
    <dataValidation type="list" allowBlank="1" showDropDown="1" showErrorMessage="1" sqref="H65:H89">
      <formula1>"26.5 ms,346.5 ms,2185 ms,5170 ms,—"</formula1>
    </dataValidation>
    <dataValidation type="list" allowBlank="1" showDropDown="1" showErrorMessage="1" sqref="I65:I89">
      <formula1>"PASS,SATURATED,SATURATED (&gt;90 RPS)"</formula1>
    </dataValidation>
    <dataValidation type="custom" allowBlank="1" showDropDown="1" sqref="B7:B14 B20:B27 A33:A60 A65:A89">
      <formula1>AND(ISNUMBER(A7),(NOT(OR(NOT(ISERROR(DATEVALUE(A7))), AND(ISNUMBER(A7), LEFT(CELL("format", A7))="D")))))</formula1>
    </dataValidation>
    <dataValidation type="list" allowBlank="1" showDropDown="1" showErrorMessage="1" sqref="E33:E60">
      <formula1>"PASS,SATURATED"</formula1>
    </dataValidation>
    <dataValidation type="list" allowBlank="1" showDropDown="1" showErrorMessage="1" sqref="A20:A27">
      <formula1>"1KB (1024 chars),2KB (2048 chars)"</formula1>
    </dataValidation>
    <dataValidation type="list" allowBlank="1" showDropDown="1" showErrorMessage="1" sqref="I33:I60">
      <formula1>"PASS,SATURATED,SATURATED (&gt;180 RPS)"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3.0"/>
    <col customWidth="1" min="2" max="2" width="24.43"/>
    <col customWidth="1" min="3" max="3" width="15.86"/>
    <col customWidth="1" min="4" max="4" width="14.43"/>
    <col customWidth="1" min="5" max="5" width="13.71"/>
    <col customWidth="1" min="6" max="6" width="16.57"/>
    <col customWidth="1" min="7" max="7" width="15.86"/>
    <col customWidth="1" min="8" max="8" width="16.57"/>
    <col customWidth="1" min="9" max="9" width="15.14"/>
    <col customWidth="1" min="10" max="10" width="14.43"/>
  </cols>
  <sheetData>
    <row r="1">
      <c r="A1" s="21" t="s">
        <v>196</v>
      </c>
    </row>
    <row r="3">
      <c r="A3" s="6" t="s">
        <v>17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</row>
    <row r="5" ht="22.5" customHeight="1">
      <c r="A5" s="22" t="s">
        <v>19</v>
      </c>
      <c r="B5" s="22" t="s">
        <v>22</v>
      </c>
      <c r="C5" s="22" t="s">
        <v>211</v>
      </c>
      <c r="D5" s="22" t="s">
        <v>24</v>
      </c>
      <c r="E5" s="22" t="s">
        <v>27</v>
      </c>
      <c r="F5" s="22" t="s">
        <v>29</v>
      </c>
      <c r="G5" s="22" t="s">
        <v>31</v>
      </c>
      <c r="H5" s="22" t="s">
        <v>34</v>
      </c>
      <c r="I5" s="22" t="s">
        <v>36</v>
      </c>
      <c r="J5" s="22" t="s">
        <v>38</v>
      </c>
    </row>
    <row r="6" ht="22.5" customHeight="1">
      <c r="A6" s="11" t="s">
        <v>41</v>
      </c>
      <c r="B6" s="14">
        <v>1.0</v>
      </c>
      <c r="C6" s="15" t="s">
        <v>59</v>
      </c>
      <c r="D6" s="15" t="s">
        <v>47</v>
      </c>
      <c r="E6" s="15" t="s">
        <v>48</v>
      </c>
      <c r="F6" s="15" t="s">
        <v>222</v>
      </c>
      <c r="G6" s="23" t="s">
        <v>103</v>
      </c>
      <c r="H6" s="15" t="s">
        <v>226</v>
      </c>
      <c r="I6" s="23" t="s">
        <v>227</v>
      </c>
      <c r="J6" s="15" t="s">
        <v>58</v>
      </c>
    </row>
    <row r="7" ht="22.5" customHeight="1">
      <c r="A7" s="11" t="s">
        <v>41</v>
      </c>
      <c r="B7" s="14">
        <v>4.0</v>
      </c>
      <c r="C7" s="15" t="s">
        <v>70</v>
      </c>
      <c r="D7" s="15" t="s">
        <v>67</v>
      </c>
      <c r="E7" s="15" t="s">
        <v>69</v>
      </c>
      <c r="F7" s="15" t="s">
        <v>238</v>
      </c>
      <c r="G7" s="23" t="s">
        <v>239</v>
      </c>
      <c r="H7" s="15" t="s">
        <v>241</v>
      </c>
      <c r="I7" s="23" t="s">
        <v>244</v>
      </c>
      <c r="J7" s="15" t="s">
        <v>58</v>
      </c>
    </row>
    <row r="8" ht="22.5" customHeight="1">
      <c r="A8" s="11" t="s">
        <v>41</v>
      </c>
      <c r="B8" s="14">
        <v>8.0</v>
      </c>
      <c r="C8" s="15" t="s">
        <v>86</v>
      </c>
      <c r="D8" s="15" t="s">
        <v>82</v>
      </c>
      <c r="E8" s="15" t="s">
        <v>85</v>
      </c>
      <c r="F8" s="15" t="s">
        <v>248</v>
      </c>
      <c r="G8" s="23" t="s">
        <v>252</v>
      </c>
      <c r="H8" s="15" t="s">
        <v>254</v>
      </c>
      <c r="I8" s="23" t="s">
        <v>257</v>
      </c>
      <c r="J8" s="15" t="s">
        <v>58</v>
      </c>
    </row>
    <row r="9" ht="22.5" customHeight="1">
      <c r="A9" s="11" t="s">
        <v>41</v>
      </c>
      <c r="B9" s="14">
        <v>16.0</v>
      </c>
      <c r="C9" s="15" t="s">
        <v>106</v>
      </c>
      <c r="D9" s="15" t="s">
        <v>98</v>
      </c>
      <c r="E9" s="15" t="s">
        <v>99</v>
      </c>
      <c r="F9" s="15" t="s">
        <v>262</v>
      </c>
      <c r="G9" s="23" t="s">
        <v>213</v>
      </c>
      <c r="H9" s="15" t="s">
        <v>263</v>
      </c>
      <c r="I9" s="23" t="s">
        <v>265</v>
      </c>
      <c r="J9" s="15" t="s">
        <v>58</v>
      </c>
    </row>
    <row r="10" ht="22.5" customHeight="1">
      <c r="A10" s="11" t="s">
        <v>110</v>
      </c>
      <c r="B10" s="14">
        <v>1.0</v>
      </c>
      <c r="C10" s="15" t="s">
        <v>124</v>
      </c>
      <c r="D10" s="15" t="s">
        <v>113</v>
      </c>
      <c r="E10" s="15" t="s">
        <v>115</v>
      </c>
      <c r="F10" s="15" t="s">
        <v>274</v>
      </c>
      <c r="G10" s="23" t="s">
        <v>275</v>
      </c>
      <c r="H10" s="15" t="s">
        <v>276</v>
      </c>
      <c r="I10" s="23" t="s">
        <v>279</v>
      </c>
      <c r="J10" s="15" t="s">
        <v>58</v>
      </c>
    </row>
    <row r="11" ht="22.5" customHeight="1">
      <c r="A11" s="11" t="s">
        <v>110</v>
      </c>
      <c r="B11" s="14">
        <v>4.0</v>
      </c>
      <c r="C11" s="15" t="s">
        <v>145</v>
      </c>
      <c r="D11" s="15" t="s">
        <v>125</v>
      </c>
      <c r="E11" s="15" t="s">
        <v>127</v>
      </c>
      <c r="F11" s="15" t="s">
        <v>288</v>
      </c>
      <c r="G11" s="23" t="s">
        <v>291</v>
      </c>
      <c r="H11" s="15" t="s">
        <v>293</v>
      </c>
      <c r="I11" s="23" t="s">
        <v>294</v>
      </c>
      <c r="J11" s="15" t="s">
        <v>58</v>
      </c>
    </row>
    <row r="12" ht="22.5" customHeight="1">
      <c r="A12" s="11" t="s">
        <v>110</v>
      </c>
      <c r="B12" s="14">
        <v>8.0</v>
      </c>
      <c r="C12" s="15" t="s">
        <v>161</v>
      </c>
      <c r="D12" s="15" t="s">
        <v>138</v>
      </c>
      <c r="E12" s="15" t="s">
        <v>139</v>
      </c>
      <c r="F12" s="15" t="s">
        <v>318</v>
      </c>
      <c r="G12" s="23" t="s">
        <v>319</v>
      </c>
      <c r="H12" s="15" t="s">
        <v>322</v>
      </c>
      <c r="I12" s="23" t="s">
        <v>324</v>
      </c>
      <c r="J12" s="15" t="s">
        <v>58</v>
      </c>
    </row>
    <row r="13" ht="22.5" customHeight="1">
      <c r="A13" s="11" t="s">
        <v>110</v>
      </c>
      <c r="B13" s="14">
        <v>16.0</v>
      </c>
      <c r="C13" s="15" t="s">
        <v>170</v>
      </c>
      <c r="D13" s="15" t="s">
        <v>154</v>
      </c>
      <c r="E13" s="15" t="s">
        <v>155</v>
      </c>
      <c r="F13" s="15" t="s">
        <v>333</v>
      </c>
      <c r="G13" s="23" t="s">
        <v>335</v>
      </c>
      <c r="H13" s="15" t="s">
        <v>336</v>
      </c>
      <c r="I13" s="23" t="s">
        <v>337</v>
      </c>
      <c r="J13" s="15" t="s">
        <v>58</v>
      </c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>
      <c r="A15" s="17" t="s">
        <v>168</v>
      </c>
      <c r="B15" s="17"/>
      <c r="C15" s="17"/>
      <c r="D15" s="17"/>
      <c r="E15" s="17"/>
      <c r="F15" s="17"/>
      <c r="G15" s="17"/>
      <c r="H15" s="17"/>
      <c r="I15" s="17"/>
      <c r="J15" s="1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ht="22.5" customHeight="1">
      <c r="A17" s="22" t="s">
        <v>19</v>
      </c>
      <c r="B17" s="22" t="s">
        <v>22</v>
      </c>
      <c r="C17" s="22" t="s">
        <v>211</v>
      </c>
      <c r="D17" s="22" t="s">
        <v>24</v>
      </c>
      <c r="E17" s="22" t="s">
        <v>27</v>
      </c>
      <c r="F17" s="22" t="s">
        <v>29</v>
      </c>
      <c r="G17" s="22" t="s">
        <v>31</v>
      </c>
      <c r="H17" s="22" t="s">
        <v>34</v>
      </c>
      <c r="I17" s="22" t="s">
        <v>36</v>
      </c>
      <c r="J17" s="22" t="s">
        <v>38</v>
      </c>
    </row>
    <row r="18" ht="22.5" customHeight="1">
      <c r="A18" s="11" t="s">
        <v>41</v>
      </c>
      <c r="B18" s="14">
        <v>1.0</v>
      </c>
      <c r="C18" s="15" t="s">
        <v>60</v>
      </c>
      <c r="D18" s="15" t="s">
        <v>55</v>
      </c>
      <c r="E18" s="15" t="s">
        <v>61</v>
      </c>
      <c r="F18" s="15" t="s">
        <v>246</v>
      </c>
      <c r="G18" s="23" t="s">
        <v>357</v>
      </c>
      <c r="H18" s="15" t="s">
        <v>358</v>
      </c>
      <c r="I18" s="23" t="s">
        <v>361</v>
      </c>
      <c r="J18" s="15" t="s">
        <v>58</v>
      </c>
    </row>
    <row r="19" ht="22.5" customHeight="1">
      <c r="A19" s="11" t="s">
        <v>41</v>
      </c>
      <c r="B19" s="14">
        <v>4.0</v>
      </c>
      <c r="C19" s="15" t="s">
        <v>73</v>
      </c>
      <c r="D19" s="15" t="s">
        <v>78</v>
      </c>
      <c r="E19" s="15" t="s">
        <v>80</v>
      </c>
      <c r="F19" s="15" t="s">
        <v>344</v>
      </c>
      <c r="G19" s="23" t="s">
        <v>373</v>
      </c>
      <c r="H19" s="15" t="s">
        <v>374</v>
      </c>
      <c r="I19" s="23" t="s">
        <v>375</v>
      </c>
      <c r="J19" s="15" t="s">
        <v>58</v>
      </c>
    </row>
    <row r="20" ht="22.5" customHeight="1">
      <c r="A20" s="11" t="s">
        <v>41</v>
      </c>
      <c r="B20" s="14">
        <v>8.0</v>
      </c>
      <c r="C20" s="15" t="s">
        <v>89</v>
      </c>
      <c r="D20" s="15" t="s">
        <v>94</v>
      </c>
      <c r="E20" s="15" t="s">
        <v>96</v>
      </c>
      <c r="F20" s="15" t="s">
        <v>390</v>
      </c>
      <c r="G20" s="23" t="s">
        <v>391</v>
      </c>
      <c r="H20" s="15" t="s">
        <v>392</v>
      </c>
      <c r="I20" s="23" t="s">
        <v>393</v>
      </c>
      <c r="J20" s="15" t="s">
        <v>58</v>
      </c>
    </row>
    <row r="21" ht="22.5" customHeight="1">
      <c r="A21" s="11" t="s">
        <v>41</v>
      </c>
      <c r="B21" s="14">
        <v>16.0</v>
      </c>
      <c r="C21" s="15" t="s">
        <v>107</v>
      </c>
      <c r="D21" s="15" t="s">
        <v>112</v>
      </c>
      <c r="E21" s="15" t="s">
        <v>118</v>
      </c>
      <c r="F21" s="15" t="s">
        <v>405</v>
      </c>
      <c r="G21" s="23" t="s">
        <v>407</v>
      </c>
      <c r="H21" s="15" t="s">
        <v>410</v>
      </c>
      <c r="I21" s="23" t="s">
        <v>411</v>
      </c>
      <c r="J21" s="15" t="s">
        <v>58</v>
      </c>
    </row>
    <row r="22" ht="22.5" customHeight="1">
      <c r="A22" s="11" t="s">
        <v>110</v>
      </c>
      <c r="B22" s="14">
        <v>1.0</v>
      </c>
      <c r="C22" s="15" t="s">
        <v>126</v>
      </c>
      <c r="D22" s="15" t="s">
        <v>133</v>
      </c>
      <c r="E22" s="15" t="s">
        <v>136</v>
      </c>
      <c r="F22" s="15" t="s">
        <v>422</v>
      </c>
      <c r="G22" s="23" t="s">
        <v>425</v>
      </c>
      <c r="H22" s="15" t="s">
        <v>427</v>
      </c>
      <c r="I22" s="23" t="s">
        <v>251</v>
      </c>
      <c r="J22" s="15" t="s">
        <v>58</v>
      </c>
    </row>
    <row r="23" ht="15.75" customHeight="1">
      <c r="A23" s="11" t="s">
        <v>110</v>
      </c>
      <c r="B23" s="14">
        <v>4.0</v>
      </c>
      <c r="C23" s="15" t="s">
        <v>147</v>
      </c>
      <c r="D23" s="15" t="s">
        <v>150</v>
      </c>
      <c r="E23" s="15" t="s">
        <v>152</v>
      </c>
      <c r="F23" s="15" t="s">
        <v>289</v>
      </c>
      <c r="G23" s="23" t="s">
        <v>443</v>
      </c>
      <c r="H23" s="15" t="s">
        <v>445</v>
      </c>
      <c r="I23" s="23" t="s">
        <v>449</v>
      </c>
      <c r="J23" s="15" t="s">
        <v>58</v>
      </c>
    </row>
    <row r="24" ht="15.75" customHeight="1">
      <c r="A24" s="11" t="s">
        <v>110</v>
      </c>
      <c r="B24" s="14">
        <v>8.0</v>
      </c>
      <c r="C24" s="15" t="s">
        <v>162</v>
      </c>
      <c r="D24" s="15" t="s">
        <v>166</v>
      </c>
      <c r="E24" s="15" t="s">
        <v>153</v>
      </c>
      <c r="F24" s="15" t="s">
        <v>461</v>
      </c>
      <c r="G24" s="23" t="s">
        <v>337</v>
      </c>
      <c r="H24" s="15" t="s">
        <v>199</v>
      </c>
      <c r="I24" s="23" t="s">
        <v>464</v>
      </c>
      <c r="J24" s="15" t="s">
        <v>58</v>
      </c>
    </row>
    <row r="25" ht="15.75" customHeight="1">
      <c r="A25" s="11" t="s">
        <v>110</v>
      </c>
      <c r="B25" s="14">
        <v>16.0</v>
      </c>
      <c r="C25" s="15" t="s">
        <v>171</v>
      </c>
      <c r="D25" s="15" t="s">
        <v>175</v>
      </c>
      <c r="E25" s="15" t="s">
        <v>177</v>
      </c>
      <c r="F25" s="15" t="s">
        <v>479</v>
      </c>
      <c r="G25" s="23" t="s">
        <v>480</v>
      </c>
      <c r="H25" s="15" t="s">
        <v>481</v>
      </c>
      <c r="I25" s="23" t="s">
        <v>483</v>
      </c>
      <c r="J25" s="15" t="s">
        <v>58</v>
      </c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7" t="s">
        <v>237</v>
      </c>
      <c r="B27" s="24"/>
      <c r="C27" s="24"/>
      <c r="D27" s="24"/>
      <c r="E27" s="24"/>
      <c r="F27" s="24"/>
      <c r="G27" s="24"/>
      <c r="H27" s="24"/>
      <c r="I27" s="24"/>
      <c r="J27" s="24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ht="15.75" customHeight="1">
      <c r="A29" s="22" t="s">
        <v>19</v>
      </c>
      <c r="B29" s="22" t="s">
        <v>22</v>
      </c>
      <c r="C29" s="22" t="s">
        <v>211</v>
      </c>
      <c r="D29" s="22" t="s">
        <v>24</v>
      </c>
      <c r="E29" s="22" t="s">
        <v>27</v>
      </c>
      <c r="F29" s="22" t="s">
        <v>29</v>
      </c>
      <c r="G29" s="22" t="s">
        <v>31</v>
      </c>
      <c r="H29" s="22" t="s">
        <v>34</v>
      </c>
      <c r="I29" s="22" t="s">
        <v>36</v>
      </c>
      <c r="J29" s="22" t="s">
        <v>38</v>
      </c>
    </row>
    <row r="30" ht="15.75" customHeight="1">
      <c r="A30" s="11" t="s">
        <v>41</v>
      </c>
      <c r="B30" s="14">
        <v>1.0</v>
      </c>
      <c r="C30" s="15" t="s">
        <v>193</v>
      </c>
      <c r="D30" s="15" t="s">
        <v>47</v>
      </c>
      <c r="E30" s="15" t="s">
        <v>48</v>
      </c>
      <c r="F30" s="15" t="s">
        <v>497</v>
      </c>
      <c r="G30" s="23" t="s">
        <v>498</v>
      </c>
      <c r="H30" s="15" t="s">
        <v>129</v>
      </c>
      <c r="I30" s="23" t="s">
        <v>499</v>
      </c>
      <c r="J30" s="15" t="s">
        <v>58</v>
      </c>
    </row>
    <row r="31" ht="15.75" customHeight="1">
      <c r="A31" s="11" t="s">
        <v>41</v>
      </c>
      <c r="B31" s="14">
        <v>4.0</v>
      </c>
      <c r="C31" s="15" t="s">
        <v>207</v>
      </c>
      <c r="D31" s="15" t="s">
        <v>67</v>
      </c>
      <c r="E31" s="15" t="s">
        <v>69</v>
      </c>
      <c r="F31" s="15" t="s">
        <v>248</v>
      </c>
      <c r="G31" s="23" t="s">
        <v>500</v>
      </c>
      <c r="H31" s="15" t="s">
        <v>501</v>
      </c>
      <c r="I31" s="23" t="s">
        <v>502</v>
      </c>
      <c r="J31" s="15" t="s">
        <v>58</v>
      </c>
    </row>
    <row r="32" ht="15.75" customHeight="1">
      <c r="A32" s="11" t="s">
        <v>41</v>
      </c>
      <c r="B32" s="14">
        <v>8.0</v>
      </c>
      <c r="C32" s="15" t="s">
        <v>220</v>
      </c>
      <c r="D32" s="15" t="s">
        <v>82</v>
      </c>
      <c r="E32" s="15" t="s">
        <v>85</v>
      </c>
      <c r="F32" s="15" t="s">
        <v>260</v>
      </c>
      <c r="G32" s="23" t="s">
        <v>507</v>
      </c>
      <c r="H32" s="15" t="s">
        <v>508</v>
      </c>
      <c r="I32" s="23" t="s">
        <v>502</v>
      </c>
      <c r="J32" s="15" t="s">
        <v>58</v>
      </c>
    </row>
    <row r="33" ht="15.75" customHeight="1">
      <c r="A33" s="11" t="s">
        <v>41</v>
      </c>
      <c r="B33" s="14">
        <v>16.0</v>
      </c>
      <c r="C33" s="15" t="s">
        <v>235</v>
      </c>
      <c r="D33" s="15" t="s">
        <v>98</v>
      </c>
      <c r="E33" s="15" t="s">
        <v>99</v>
      </c>
      <c r="F33" s="15" t="s">
        <v>510</v>
      </c>
      <c r="G33" s="23" t="s">
        <v>251</v>
      </c>
      <c r="H33" s="15" t="s">
        <v>514</v>
      </c>
      <c r="I33" s="23" t="s">
        <v>515</v>
      </c>
      <c r="J33" s="15" t="s">
        <v>58</v>
      </c>
    </row>
    <row r="34" ht="15.75" customHeight="1">
      <c r="A34" s="11" t="s">
        <v>110</v>
      </c>
      <c r="B34" s="14">
        <v>1.0</v>
      </c>
      <c r="C34" s="15" t="s">
        <v>195</v>
      </c>
      <c r="D34" s="15" t="s">
        <v>113</v>
      </c>
      <c r="E34" s="15" t="s">
        <v>115</v>
      </c>
      <c r="F34" s="15" t="s">
        <v>519</v>
      </c>
      <c r="G34" s="23" t="s">
        <v>520</v>
      </c>
      <c r="H34" s="15" t="s">
        <v>521</v>
      </c>
      <c r="I34" s="23" t="s">
        <v>523</v>
      </c>
      <c r="J34" s="15" t="s">
        <v>58</v>
      </c>
    </row>
    <row r="35" ht="15.75" customHeight="1">
      <c r="A35" s="11" t="s">
        <v>110</v>
      </c>
      <c r="B35" s="14">
        <v>4.0</v>
      </c>
      <c r="C35" s="15" t="s">
        <v>209</v>
      </c>
      <c r="D35" s="15" t="s">
        <v>125</v>
      </c>
      <c r="E35" s="15" t="s">
        <v>127</v>
      </c>
      <c r="F35" s="15" t="s">
        <v>528</v>
      </c>
      <c r="G35" s="23" t="s">
        <v>529</v>
      </c>
      <c r="H35" s="15" t="s">
        <v>530</v>
      </c>
      <c r="I35" s="23" t="s">
        <v>531</v>
      </c>
      <c r="J35" s="15" t="s">
        <v>58</v>
      </c>
    </row>
    <row r="36" ht="15.75" customHeight="1">
      <c r="A36" s="11" t="s">
        <v>110</v>
      </c>
      <c r="B36" s="14">
        <v>8.0</v>
      </c>
      <c r="C36" s="15" t="s">
        <v>221</v>
      </c>
      <c r="D36" s="15" t="s">
        <v>138</v>
      </c>
      <c r="E36" s="15" t="s">
        <v>139</v>
      </c>
      <c r="F36" s="15" t="s">
        <v>535</v>
      </c>
      <c r="G36" s="23" t="s">
        <v>299</v>
      </c>
      <c r="H36" s="15" t="s">
        <v>536</v>
      </c>
      <c r="I36" s="23" t="s">
        <v>537</v>
      </c>
      <c r="J36" s="15" t="s">
        <v>58</v>
      </c>
    </row>
    <row r="37" ht="15.75" customHeight="1">
      <c r="A37" s="11" t="s">
        <v>110</v>
      </c>
      <c r="B37" s="14">
        <v>16.0</v>
      </c>
      <c r="C37" s="15" t="s">
        <v>281</v>
      </c>
      <c r="D37" s="15" t="s">
        <v>154</v>
      </c>
      <c r="E37" s="15" t="s">
        <v>155</v>
      </c>
      <c r="F37" s="15" t="s">
        <v>541</v>
      </c>
      <c r="G37" s="23" t="s">
        <v>542</v>
      </c>
      <c r="H37" s="15" t="s">
        <v>543</v>
      </c>
      <c r="I37" s="23" t="s">
        <v>544</v>
      </c>
      <c r="J37" s="15" t="s">
        <v>58</v>
      </c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7" t="s">
        <v>334</v>
      </c>
      <c r="B39" s="24"/>
      <c r="C39" s="24"/>
      <c r="D39" s="24"/>
      <c r="E39" s="24"/>
      <c r="F39" s="24"/>
      <c r="G39" s="24"/>
      <c r="H39" s="24"/>
      <c r="I39" s="24"/>
      <c r="J39" s="24"/>
    </row>
    <row r="40" ht="15.75" customHeight="1">
      <c r="A40" s="25"/>
      <c r="B40" s="16"/>
      <c r="C40" s="16"/>
      <c r="D40" s="16"/>
      <c r="E40" s="16"/>
      <c r="F40" s="16"/>
      <c r="G40" s="16"/>
      <c r="H40" s="16"/>
      <c r="I40" s="16"/>
      <c r="J40" s="16"/>
    </row>
    <row r="41" ht="15.75" customHeight="1">
      <c r="A41" s="22" t="s">
        <v>19</v>
      </c>
      <c r="B41" s="22" t="s">
        <v>22</v>
      </c>
      <c r="C41" s="22" t="s">
        <v>211</v>
      </c>
      <c r="D41" s="22" t="s">
        <v>24</v>
      </c>
      <c r="E41" s="22" t="s">
        <v>27</v>
      </c>
      <c r="F41" s="22" t="s">
        <v>29</v>
      </c>
      <c r="G41" s="22" t="s">
        <v>31</v>
      </c>
      <c r="H41" s="22" t="s">
        <v>34</v>
      </c>
      <c r="I41" s="22" t="s">
        <v>36</v>
      </c>
      <c r="J41" s="22" t="s">
        <v>38</v>
      </c>
    </row>
    <row r="42" ht="15.75" customHeight="1">
      <c r="A42" s="15" t="s">
        <v>41</v>
      </c>
      <c r="B42" s="29">
        <v>1.0</v>
      </c>
      <c r="C42" s="15" t="s">
        <v>59</v>
      </c>
      <c r="D42" s="15" t="s">
        <v>55</v>
      </c>
      <c r="E42" s="15" t="s">
        <v>61</v>
      </c>
      <c r="F42" s="15" t="s">
        <v>554</v>
      </c>
      <c r="G42" s="23" t="s">
        <v>555</v>
      </c>
      <c r="H42" s="15" t="s">
        <v>556</v>
      </c>
      <c r="I42" s="23" t="s">
        <v>529</v>
      </c>
      <c r="J42" s="15" t="s">
        <v>58</v>
      </c>
    </row>
    <row r="43" ht="15.75" customHeight="1">
      <c r="A43" s="15" t="s">
        <v>41</v>
      </c>
      <c r="B43" s="29">
        <v>4.0</v>
      </c>
      <c r="C43" s="15" t="s">
        <v>210</v>
      </c>
      <c r="D43" s="15" t="s">
        <v>78</v>
      </c>
      <c r="E43" s="15" t="s">
        <v>80</v>
      </c>
      <c r="F43" s="15" t="s">
        <v>558</v>
      </c>
      <c r="G43" s="23" t="s">
        <v>559</v>
      </c>
      <c r="H43" s="15" t="s">
        <v>560</v>
      </c>
      <c r="I43" s="23" t="s">
        <v>561</v>
      </c>
      <c r="J43" s="15" t="s">
        <v>58</v>
      </c>
    </row>
    <row r="44" ht="15.75" customHeight="1">
      <c r="A44" s="15" t="s">
        <v>41</v>
      </c>
      <c r="B44" s="29">
        <v>8.0</v>
      </c>
      <c r="C44" s="15" t="s">
        <v>221</v>
      </c>
      <c r="D44" s="15" t="s">
        <v>94</v>
      </c>
      <c r="E44" s="15" t="s">
        <v>96</v>
      </c>
      <c r="F44" s="15" t="s">
        <v>374</v>
      </c>
      <c r="G44" s="23" t="s">
        <v>182</v>
      </c>
      <c r="H44" s="15" t="s">
        <v>566</v>
      </c>
      <c r="I44" s="23" t="s">
        <v>567</v>
      </c>
      <c r="J44" s="15" t="s">
        <v>58</v>
      </c>
    </row>
    <row r="45" ht="15.75" customHeight="1">
      <c r="A45" s="15" t="s">
        <v>41</v>
      </c>
      <c r="B45" s="29">
        <v>16.0</v>
      </c>
      <c r="C45" s="15" t="s">
        <v>236</v>
      </c>
      <c r="D45" s="15" t="s">
        <v>112</v>
      </c>
      <c r="E45" s="15" t="s">
        <v>118</v>
      </c>
      <c r="F45" s="15" t="s">
        <v>569</v>
      </c>
      <c r="G45" s="23" t="s">
        <v>570</v>
      </c>
      <c r="H45" s="15" t="s">
        <v>572</v>
      </c>
      <c r="I45" s="23" t="s">
        <v>269</v>
      </c>
      <c r="J45" s="15" t="s">
        <v>58</v>
      </c>
    </row>
    <row r="46" ht="15.75" customHeight="1">
      <c r="A46" s="15" t="s">
        <v>110</v>
      </c>
      <c r="B46" s="29">
        <v>1.0</v>
      </c>
      <c r="C46" s="15" t="s">
        <v>111</v>
      </c>
      <c r="D46" s="15" t="s">
        <v>133</v>
      </c>
      <c r="E46" s="15" t="s">
        <v>136</v>
      </c>
      <c r="F46" s="15" t="s">
        <v>573</v>
      </c>
      <c r="G46" s="23" t="s">
        <v>574</v>
      </c>
      <c r="H46" s="15" t="s">
        <v>575</v>
      </c>
      <c r="I46" s="23" t="s">
        <v>499</v>
      </c>
      <c r="J46" s="15" t="s">
        <v>58</v>
      </c>
    </row>
    <row r="47" ht="15.75" customHeight="1">
      <c r="A47" s="15" t="s">
        <v>110</v>
      </c>
      <c r="B47" s="29">
        <v>4.0</v>
      </c>
      <c r="C47" s="15" t="s">
        <v>258</v>
      </c>
      <c r="D47" s="15" t="s">
        <v>150</v>
      </c>
      <c r="E47" s="15" t="s">
        <v>152</v>
      </c>
      <c r="F47" s="15" t="s">
        <v>576</v>
      </c>
      <c r="G47" s="23" t="s">
        <v>577</v>
      </c>
      <c r="H47" s="15" t="s">
        <v>579</v>
      </c>
      <c r="I47" s="23" t="s">
        <v>332</v>
      </c>
      <c r="J47" s="15" t="s">
        <v>58</v>
      </c>
    </row>
    <row r="48" ht="15.75" customHeight="1">
      <c r="A48" s="15" t="s">
        <v>110</v>
      </c>
      <c r="B48" s="29">
        <v>8.0</v>
      </c>
      <c r="C48" s="15" t="s">
        <v>266</v>
      </c>
      <c r="D48" s="15" t="s">
        <v>166</v>
      </c>
      <c r="E48" s="15" t="s">
        <v>153</v>
      </c>
      <c r="F48" s="15" t="s">
        <v>582</v>
      </c>
      <c r="G48" s="23" t="s">
        <v>529</v>
      </c>
      <c r="H48" s="15" t="s">
        <v>583</v>
      </c>
      <c r="I48" s="23" t="s">
        <v>584</v>
      </c>
      <c r="J48" s="15" t="s">
        <v>58</v>
      </c>
    </row>
    <row r="49" ht="15.75" customHeight="1">
      <c r="A49" s="15" t="s">
        <v>110</v>
      </c>
      <c r="B49" s="29">
        <v>16.0</v>
      </c>
      <c r="C49" s="15" t="s">
        <v>152</v>
      </c>
      <c r="D49" s="15" t="s">
        <v>175</v>
      </c>
      <c r="E49" s="15" t="s">
        <v>177</v>
      </c>
      <c r="F49" s="15" t="s">
        <v>590</v>
      </c>
      <c r="G49" s="23" t="s">
        <v>347</v>
      </c>
      <c r="H49" s="15" t="s">
        <v>591</v>
      </c>
      <c r="I49" s="23" t="s">
        <v>592</v>
      </c>
      <c r="J49" s="15" t="s">
        <v>58</v>
      </c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>
      <c r="A51" s="17" t="s">
        <v>409</v>
      </c>
      <c r="B51" s="24"/>
      <c r="C51" s="24"/>
      <c r="D51" s="24"/>
      <c r="E51" s="24"/>
      <c r="F51" s="24"/>
      <c r="G51" s="24"/>
      <c r="H51" s="24"/>
      <c r="I51" s="24"/>
      <c r="J51" s="24"/>
    </row>
    <row r="52" ht="15.75" customHeight="1">
      <c r="A52" s="18"/>
      <c r="B52" s="18"/>
      <c r="C52" s="18"/>
      <c r="D52" s="18"/>
      <c r="E52" s="18"/>
      <c r="F52" s="18"/>
      <c r="G52" s="18"/>
      <c r="H52" s="16"/>
      <c r="I52" s="16"/>
      <c r="J52" s="16"/>
    </row>
    <row r="53" ht="15.75" customHeight="1">
      <c r="A53" s="22" t="s">
        <v>412</v>
      </c>
      <c r="B53" s="22" t="s">
        <v>413</v>
      </c>
      <c r="C53" s="22" t="s">
        <v>298</v>
      </c>
      <c r="D53" s="22" t="s">
        <v>414</v>
      </c>
      <c r="E53" s="22" t="s">
        <v>415</v>
      </c>
      <c r="F53" s="22" t="s">
        <v>416</v>
      </c>
      <c r="G53" s="22" t="s">
        <v>417</v>
      </c>
      <c r="H53" s="16"/>
      <c r="I53" s="16"/>
      <c r="J53" s="16"/>
    </row>
    <row r="54" ht="15.75" customHeight="1">
      <c r="A54" s="15" t="s">
        <v>418</v>
      </c>
      <c r="B54" s="15" t="s">
        <v>419</v>
      </c>
      <c r="C54" s="15" t="s">
        <v>420</v>
      </c>
      <c r="D54" s="15" t="s">
        <v>317</v>
      </c>
      <c r="E54" s="15" t="s">
        <v>317</v>
      </c>
      <c r="F54" s="15" t="s">
        <v>423</v>
      </c>
      <c r="G54" s="15" t="s">
        <v>317</v>
      </c>
      <c r="H54" s="16"/>
      <c r="I54" s="16"/>
      <c r="J54" s="16"/>
    </row>
    <row r="55" ht="15.75" customHeight="1">
      <c r="A55" s="15" t="s">
        <v>418</v>
      </c>
      <c r="B55" s="15" t="s">
        <v>428</v>
      </c>
      <c r="C55" s="15" t="s">
        <v>431</v>
      </c>
      <c r="D55" s="15" t="s">
        <v>432</v>
      </c>
      <c r="E55" s="15" t="s">
        <v>433</v>
      </c>
      <c r="F55" s="23" t="s">
        <v>434</v>
      </c>
      <c r="G55" s="15" t="s">
        <v>423</v>
      </c>
      <c r="H55" s="16"/>
      <c r="I55" s="16"/>
      <c r="J55" s="16"/>
    </row>
    <row r="56" ht="15.75" customHeight="1">
      <c r="A56" s="15" t="s">
        <v>418</v>
      </c>
      <c r="B56" s="15" t="s">
        <v>599</v>
      </c>
      <c r="C56" s="15" t="s">
        <v>602</v>
      </c>
      <c r="D56" s="15" t="s">
        <v>603</v>
      </c>
      <c r="E56" s="15" t="s">
        <v>604</v>
      </c>
      <c r="F56" s="23" t="s">
        <v>605</v>
      </c>
      <c r="G56" s="23" t="s">
        <v>606</v>
      </c>
      <c r="H56" s="16"/>
      <c r="I56" s="16"/>
      <c r="J56" s="16"/>
    </row>
    <row r="57" ht="15.75" customHeight="1">
      <c r="A57" s="15" t="s">
        <v>418</v>
      </c>
      <c r="B57" s="15" t="s">
        <v>607</v>
      </c>
      <c r="C57" s="15" t="s">
        <v>608</v>
      </c>
      <c r="D57" s="15" t="s">
        <v>609</v>
      </c>
      <c r="E57" s="15" t="s">
        <v>611</v>
      </c>
      <c r="F57" s="23" t="s">
        <v>613</v>
      </c>
      <c r="G57" s="23" t="s">
        <v>614</v>
      </c>
      <c r="H57" s="16"/>
      <c r="I57" s="16"/>
      <c r="J57" s="16"/>
    </row>
    <row r="58" ht="15.75" customHeight="1">
      <c r="A58" s="15" t="s">
        <v>453</v>
      </c>
      <c r="B58" s="15" t="s">
        <v>419</v>
      </c>
      <c r="C58" s="15" t="s">
        <v>455</v>
      </c>
      <c r="D58" s="15" t="s">
        <v>317</v>
      </c>
      <c r="E58" s="15" t="s">
        <v>317</v>
      </c>
      <c r="F58" s="15" t="s">
        <v>423</v>
      </c>
      <c r="G58" s="15" t="s">
        <v>317</v>
      </c>
      <c r="H58" s="16"/>
      <c r="I58" s="16"/>
      <c r="J58" s="16"/>
    </row>
    <row r="59" ht="15.75" customHeight="1">
      <c r="A59" s="15" t="s">
        <v>453</v>
      </c>
      <c r="B59" s="15" t="s">
        <v>428</v>
      </c>
      <c r="C59" s="15" t="s">
        <v>457</v>
      </c>
      <c r="D59" s="15" t="s">
        <v>458</v>
      </c>
      <c r="E59" s="15" t="s">
        <v>459</v>
      </c>
      <c r="F59" s="23" t="s">
        <v>460</v>
      </c>
      <c r="G59" s="15" t="s">
        <v>423</v>
      </c>
      <c r="H59" s="16"/>
      <c r="I59" s="16"/>
      <c r="J59" s="16"/>
    </row>
    <row r="60" ht="15.75" customHeight="1">
      <c r="A60" s="15" t="s">
        <v>453</v>
      </c>
      <c r="B60" s="15" t="s">
        <v>621</v>
      </c>
      <c r="C60" s="15" t="s">
        <v>622</v>
      </c>
      <c r="D60" s="15" t="s">
        <v>623</v>
      </c>
      <c r="E60" s="15" t="s">
        <v>624</v>
      </c>
      <c r="F60" s="23" t="s">
        <v>625</v>
      </c>
      <c r="G60" s="23" t="s">
        <v>626</v>
      </c>
      <c r="H60" s="16"/>
      <c r="I60" s="16"/>
      <c r="J60" s="16"/>
    </row>
    <row r="61" ht="15.75" customHeight="1">
      <c r="A61" s="15" t="s">
        <v>453</v>
      </c>
      <c r="B61" s="15" t="s">
        <v>607</v>
      </c>
      <c r="C61" s="15" t="s">
        <v>627</v>
      </c>
      <c r="D61" s="15" t="s">
        <v>210</v>
      </c>
      <c r="E61" s="15" t="s">
        <v>628</v>
      </c>
      <c r="F61" s="23" t="s">
        <v>629</v>
      </c>
      <c r="G61" s="23" t="s">
        <v>630</v>
      </c>
      <c r="H61" s="16"/>
      <c r="I61" s="16"/>
      <c r="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>
      <c r="A63" s="17" t="s">
        <v>478</v>
      </c>
      <c r="B63" s="24"/>
      <c r="C63" s="24"/>
      <c r="D63" s="24"/>
      <c r="E63" s="24"/>
      <c r="F63" s="24"/>
      <c r="G63" s="24"/>
      <c r="H63" s="24"/>
      <c r="I63" s="24"/>
      <c r="J63" s="24"/>
    </row>
    <row r="64" ht="15.75" customHeight="1">
      <c r="A64" s="18"/>
      <c r="B64" s="18"/>
      <c r="C64" s="18"/>
      <c r="D64" s="18"/>
      <c r="E64" s="18"/>
      <c r="F64" s="11"/>
      <c r="G64" s="11"/>
      <c r="H64" s="16"/>
      <c r="I64" s="16"/>
      <c r="J64" s="16"/>
    </row>
    <row r="65" ht="15.75" customHeight="1">
      <c r="A65" s="9" t="s">
        <v>482</v>
      </c>
      <c r="B65" s="9" t="s">
        <v>484</v>
      </c>
      <c r="C65" s="9" t="s">
        <v>485</v>
      </c>
      <c r="D65" s="9" t="s">
        <v>486</v>
      </c>
      <c r="E65" s="9" t="s">
        <v>487</v>
      </c>
      <c r="F65" s="22" t="s">
        <v>488</v>
      </c>
      <c r="G65" s="22" t="s">
        <v>490</v>
      </c>
      <c r="H65" s="16"/>
      <c r="I65" s="16"/>
      <c r="J65" s="16"/>
    </row>
    <row r="66" ht="15.75" customHeight="1">
      <c r="A66" s="15" t="s">
        <v>492</v>
      </c>
      <c r="B66" s="15" t="s">
        <v>494</v>
      </c>
      <c r="C66" s="30">
        <v>0.7</v>
      </c>
      <c r="D66" s="26">
        <f t="shared" ref="D66:D71" si="1">C66/(0.4*F66*3600)*1000000</f>
        <v>6.944444444</v>
      </c>
      <c r="E66" s="26">
        <f t="shared" ref="E66:E71" si="2">C66/(0.4*G66*3600)*1000000</f>
        <v>12.15277778</v>
      </c>
      <c r="F66" s="27">
        <v>70.0</v>
      </c>
      <c r="G66" s="27">
        <v>40.0</v>
      </c>
      <c r="H66" s="16"/>
      <c r="I66" s="16"/>
      <c r="J66" s="16"/>
    </row>
    <row r="67" ht="15.75" customHeight="1">
      <c r="A67" s="15" t="s">
        <v>505</v>
      </c>
      <c r="B67" s="15" t="s">
        <v>506</v>
      </c>
      <c r="C67" s="30">
        <v>1.2</v>
      </c>
      <c r="D67" s="26">
        <f t="shared" si="1"/>
        <v>4.456327986</v>
      </c>
      <c r="E67" s="26">
        <f t="shared" si="2"/>
        <v>9.259259259</v>
      </c>
      <c r="F67" s="27">
        <v>187.0</v>
      </c>
      <c r="G67" s="27">
        <v>90.0</v>
      </c>
      <c r="H67" s="16"/>
      <c r="I67" s="16"/>
      <c r="J67" s="16"/>
    </row>
    <row r="68" ht="15.75" customHeight="1">
      <c r="A68" s="15" t="s">
        <v>509</v>
      </c>
      <c r="B68" s="15" t="s">
        <v>506</v>
      </c>
      <c r="C68" s="30">
        <v>1.22</v>
      </c>
      <c r="D68" s="26">
        <f t="shared" si="1"/>
        <v>4.530600119</v>
      </c>
      <c r="E68" s="26">
        <f t="shared" si="2"/>
        <v>9.413580247</v>
      </c>
      <c r="F68" s="27">
        <v>187.0</v>
      </c>
      <c r="G68" s="27">
        <v>90.0</v>
      </c>
      <c r="H68" s="16"/>
      <c r="I68" s="16"/>
      <c r="J68" s="16"/>
    </row>
    <row r="69" ht="15.75" customHeight="1">
      <c r="A69" s="15" t="s">
        <v>516</v>
      </c>
      <c r="B69" s="15" t="s">
        <v>506</v>
      </c>
      <c r="C69" s="30">
        <v>1.22</v>
      </c>
      <c r="D69" s="26">
        <f t="shared" si="1"/>
        <v>4.706790123</v>
      </c>
      <c r="E69" s="26">
        <f t="shared" si="2"/>
        <v>9.413580247</v>
      </c>
      <c r="F69" s="27">
        <v>180.0</v>
      </c>
      <c r="G69" s="27">
        <v>90.0</v>
      </c>
      <c r="H69" s="16"/>
      <c r="I69" s="16"/>
      <c r="J69" s="16"/>
    </row>
    <row r="70" ht="15.75" customHeight="1">
      <c r="A70" s="15" t="s">
        <v>646</v>
      </c>
      <c r="B70" s="15" t="s">
        <v>518</v>
      </c>
      <c r="C70" s="30">
        <v>2.7</v>
      </c>
      <c r="D70" s="26">
        <f t="shared" si="1"/>
        <v>3.537735849</v>
      </c>
      <c r="E70" s="26">
        <f t="shared" si="2"/>
        <v>5.357142857</v>
      </c>
      <c r="F70" s="27">
        <v>530.0</v>
      </c>
      <c r="G70" s="27">
        <v>350.0</v>
      </c>
      <c r="H70" s="16"/>
      <c r="I70" s="16"/>
      <c r="J70" s="16"/>
    </row>
    <row r="71" ht="15.75" customHeight="1">
      <c r="A71" s="15" t="s">
        <v>647</v>
      </c>
      <c r="B71" s="15" t="s">
        <v>518</v>
      </c>
      <c r="C71" s="30">
        <v>2.7</v>
      </c>
      <c r="D71" s="26">
        <f t="shared" si="1"/>
        <v>3.605769231</v>
      </c>
      <c r="E71" s="26">
        <f t="shared" si="2"/>
        <v>5.514705882</v>
      </c>
      <c r="F71" s="27">
        <v>520.0</v>
      </c>
      <c r="G71" s="27">
        <v>340.0</v>
      </c>
      <c r="H71" s="16"/>
      <c r="I71" s="16"/>
      <c r="J71" s="16"/>
    </row>
    <row r="72" ht="15.75" customHeight="1">
      <c r="A72" s="15" t="s">
        <v>527</v>
      </c>
      <c r="B72" s="13"/>
      <c r="C72" s="13"/>
      <c r="D72" s="28">
        <f t="shared" ref="D72:E72" si="3">(D66-D67)/D66</f>
        <v>0.3582887701</v>
      </c>
      <c r="E72" s="28">
        <f t="shared" si="3"/>
        <v>0.2380952381</v>
      </c>
      <c r="F72" s="13"/>
      <c r="G72" s="13"/>
      <c r="H72" s="16"/>
      <c r="I72" s="16"/>
      <c r="J72" s="16"/>
    </row>
    <row r="73" ht="15.75" customHeight="1">
      <c r="A73" s="15" t="s">
        <v>653</v>
      </c>
      <c r="B73" s="13"/>
      <c r="C73" s="13"/>
      <c r="D73" s="28">
        <f t="shared" ref="D73:E73" si="4">(D66-D70)/D66</f>
        <v>0.4905660377</v>
      </c>
      <c r="E73" s="28">
        <f t="shared" si="4"/>
        <v>0.5591836735</v>
      </c>
      <c r="F73" s="13"/>
      <c r="G73" s="13"/>
      <c r="H73" s="16"/>
      <c r="I73" s="16"/>
      <c r="J73" s="16"/>
    </row>
    <row r="74" ht="15.75" customHeight="1">
      <c r="A74" s="15" t="s">
        <v>654</v>
      </c>
      <c r="B74" s="13"/>
      <c r="C74" s="13"/>
      <c r="D74" s="28">
        <f t="shared" ref="D74:E74" si="5">(D66-D71)/D66</f>
        <v>0.4807692308</v>
      </c>
      <c r="E74" s="28">
        <f t="shared" si="5"/>
        <v>0.5462184874</v>
      </c>
      <c r="F74" s="13"/>
      <c r="G74" s="13"/>
      <c r="H74" s="16"/>
      <c r="I74" s="16"/>
      <c r="J74" s="16"/>
    </row>
    <row r="75" ht="15.75" customHeight="1">
      <c r="A75" s="15" t="s">
        <v>657</v>
      </c>
      <c r="B75" s="13"/>
      <c r="C75" s="13"/>
      <c r="D75" s="28">
        <f t="shared" ref="D75:E75" si="6">(D67-D70)/D67</f>
        <v>0.2061320755</v>
      </c>
      <c r="E75" s="28">
        <f t="shared" si="6"/>
        <v>0.4214285714</v>
      </c>
      <c r="F75" s="13"/>
      <c r="G75" s="13"/>
      <c r="H75" s="16"/>
      <c r="I75" s="16"/>
      <c r="J75" s="16"/>
    </row>
    <row r="76" ht="15.75" customHeight="1">
      <c r="A76" s="15" t="s">
        <v>658</v>
      </c>
      <c r="B76" s="13"/>
      <c r="C76" s="13"/>
      <c r="D76" s="28">
        <f t="shared" ref="D76:E76" si="7">(D68-D70)/D68</f>
        <v>0.2191463037</v>
      </c>
      <c r="E76" s="28">
        <f t="shared" si="7"/>
        <v>0.4309133489</v>
      </c>
      <c r="F76" s="13"/>
      <c r="G76" s="13"/>
      <c r="H76" s="16"/>
      <c r="I76" s="16"/>
      <c r="J76" s="16"/>
    </row>
    <row r="77" ht="15.75" customHeight="1">
      <c r="A77" s="15" t="s">
        <v>661</v>
      </c>
      <c r="B77" s="13"/>
      <c r="C77" s="13"/>
      <c r="D77" s="28">
        <f t="shared" ref="D77:E77" si="8">(D69-D70)/D69</f>
        <v>0.2483761212</v>
      </c>
      <c r="E77" s="28">
        <f t="shared" si="8"/>
        <v>0.4309133489</v>
      </c>
      <c r="F77" s="13"/>
      <c r="G77" s="1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ataValidations>
    <dataValidation type="list" allowBlank="1" showDropDown="1" showErrorMessage="1" sqref="A6:A13">
      <formula1>"1KB (1024 chars),2KB (2048 chars)"</formula1>
    </dataValidation>
    <dataValidation type="list" allowBlank="1" showDropDown="1" showErrorMessage="1" sqref="A18:A25">
      <formula1>"1KB (1024 chars),2KB (2048 chars)"</formula1>
    </dataValidation>
    <dataValidation type="list" allowBlank="1" showDropDown="1" showErrorMessage="1" sqref="A30:A37">
      <formula1>"1KB (1024 chars),2KB (2048 chars)"</formula1>
    </dataValidation>
    <dataValidation type="custom" allowBlank="1" showDropDown="1" sqref="B6:B13 B18:B25 B30:B37">
      <formula1>AND(ISNUMBER(B6),(NOT(OR(NOT(ISERROR(DATEVALUE(B6))), AND(ISNUMBER(B6), LEFT(CELL("format", B6))="D")))))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